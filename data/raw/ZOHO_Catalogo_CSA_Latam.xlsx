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C:\Users\victoria.gil\Downloads\"/>
    </mc:Choice>
  </mc:AlternateContent>
  <xr:revisionPtr revIDLastSave="0" documentId="13_ncr:1_{13600C60-2448-4000-B188-3B26EB953FD6}" xr6:coauthVersionLast="47" xr6:coauthVersionMax="47" xr10:uidLastSave="{00000000-0000-0000-0000-000000000000}"/>
  <bookViews>
    <workbookView xWindow="105" yWindow="-16320" windowWidth="29040" windowHeight="15720" xr2:uid="{00000000-000D-0000-FFFF-FFFF00000000}"/>
  </bookViews>
  <sheets>
    <sheet name="Catalogo de servicio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 l="1"/>
  <c r="L117" i="1"/>
  <c r="K117" i="1"/>
  <c r="J117" i="1"/>
  <c r="I117" i="1"/>
  <c r="L116" i="1"/>
  <c r="K116" i="1"/>
  <c r="J116" i="1"/>
  <c r="I116" i="1"/>
  <c r="L115" i="1"/>
  <c r="K115" i="1"/>
  <c r="J115" i="1"/>
  <c r="I115" i="1"/>
  <c r="P114" i="1"/>
  <c r="O114" i="1"/>
  <c r="N114" i="1"/>
  <c r="M114" i="1"/>
  <c r="P113" i="1"/>
  <c r="O113" i="1"/>
  <c r="N113" i="1"/>
  <c r="M113" i="1"/>
  <c r="P112" i="1"/>
  <c r="O112" i="1"/>
  <c r="N112" i="1"/>
  <c r="M112" i="1"/>
  <c r="P111" i="1"/>
  <c r="O111" i="1"/>
  <c r="N111" i="1"/>
  <c r="M111" i="1"/>
  <c r="P110" i="1"/>
  <c r="O110" i="1"/>
  <c r="N110" i="1"/>
  <c r="M110" i="1"/>
  <c r="P109" i="1"/>
  <c r="O109" i="1"/>
  <c r="N109" i="1"/>
  <c r="M109" i="1"/>
  <c r="P108" i="1"/>
  <c r="O108" i="1"/>
  <c r="N108" i="1"/>
  <c r="M108" i="1"/>
  <c r="P107" i="1"/>
  <c r="O107" i="1"/>
  <c r="N107" i="1"/>
  <c r="M107" i="1"/>
  <c r="P106" i="1"/>
  <c r="O106" i="1"/>
  <c r="N106" i="1"/>
  <c r="M106" i="1"/>
  <c r="P105" i="1"/>
  <c r="O105" i="1"/>
  <c r="N105" i="1"/>
  <c r="M105" i="1"/>
  <c r="P104" i="1"/>
  <c r="O104" i="1"/>
  <c r="N104" i="1"/>
  <c r="M104" i="1"/>
  <c r="P103" i="1"/>
  <c r="O103" i="1"/>
  <c r="N103" i="1"/>
  <c r="M103" i="1"/>
  <c r="P102" i="1"/>
  <c r="O102" i="1"/>
  <c r="N102" i="1"/>
  <c r="M102" i="1"/>
  <c r="P101" i="1"/>
  <c r="O101" i="1"/>
  <c r="N101" i="1"/>
  <c r="M101" i="1"/>
  <c r="P100" i="1"/>
  <c r="M100" i="1"/>
  <c r="K100" i="1"/>
  <c r="J100" i="1"/>
  <c r="P99" i="1"/>
  <c r="O99" i="1"/>
  <c r="N99" i="1"/>
  <c r="M99" i="1"/>
  <c r="P98" i="1"/>
  <c r="M98" i="1"/>
  <c r="K98" i="1"/>
  <c r="J98" i="1"/>
  <c r="P97" i="1"/>
  <c r="O97" i="1"/>
  <c r="N97" i="1"/>
  <c r="M97" i="1"/>
  <c r="P96" i="1"/>
  <c r="M96" i="1"/>
  <c r="K96" i="1"/>
  <c r="J96" i="1"/>
  <c r="P95" i="1"/>
  <c r="O95" i="1"/>
  <c r="N95" i="1"/>
  <c r="M95" i="1"/>
  <c r="P94" i="1"/>
  <c r="O94" i="1"/>
  <c r="N94" i="1"/>
  <c r="M94" i="1"/>
  <c r="P93" i="1"/>
  <c r="O93" i="1"/>
  <c r="N93" i="1"/>
  <c r="M93" i="1"/>
  <c r="P92" i="1"/>
  <c r="O92" i="1"/>
  <c r="N92" i="1"/>
  <c r="M92" i="1"/>
  <c r="P91" i="1"/>
  <c r="O91" i="1"/>
  <c r="N91" i="1"/>
  <c r="M91" i="1"/>
  <c r="P90" i="1"/>
  <c r="O90" i="1"/>
  <c r="N90" i="1"/>
  <c r="M90" i="1"/>
  <c r="P89" i="1"/>
  <c r="O89" i="1"/>
  <c r="N89" i="1"/>
  <c r="M89" i="1"/>
  <c r="P88" i="1"/>
  <c r="O88" i="1"/>
  <c r="N88" i="1"/>
  <c r="M88" i="1"/>
  <c r="P87" i="1"/>
  <c r="O87" i="1"/>
  <c r="N87" i="1"/>
  <c r="M87" i="1"/>
  <c r="P86" i="1"/>
  <c r="O86" i="1"/>
  <c r="N86" i="1"/>
  <c r="M86" i="1"/>
  <c r="P85" i="1"/>
  <c r="O85" i="1"/>
  <c r="N85" i="1"/>
  <c r="M85" i="1"/>
  <c r="P84" i="1"/>
  <c r="O84" i="1"/>
  <c r="N84" i="1"/>
  <c r="M84" i="1"/>
  <c r="P83" i="1"/>
  <c r="O83" i="1"/>
  <c r="N83" i="1"/>
  <c r="M83" i="1"/>
  <c r="P82" i="1"/>
  <c r="O82" i="1"/>
  <c r="N82" i="1"/>
  <c r="M82" i="1"/>
  <c r="P81" i="1"/>
  <c r="O81" i="1"/>
  <c r="N81" i="1"/>
  <c r="M81" i="1"/>
  <c r="P80" i="1"/>
  <c r="O80" i="1"/>
  <c r="N80" i="1"/>
  <c r="M80" i="1"/>
  <c r="P79" i="1"/>
  <c r="O79" i="1"/>
  <c r="N79" i="1"/>
  <c r="M79" i="1"/>
  <c r="P78" i="1"/>
  <c r="O78" i="1"/>
  <c r="N78" i="1"/>
  <c r="M78" i="1"/>
  <c r="P77" i="1"/>
  <c r="O77" i="1"/>
  <c r="N77" i="1"/>
  <c r="M77" i="1"/>
  <c r="P76" i="1"/>
  <c r="O76" i="1"/>
  <c r="N76" i="1"/>
  <c r="M76" i="1"/>
  <c r="P75" i="1"/>
  <c r="O75" i="1"/>
  <c r="N75" i="1"/>
  <c r="M75" i="1"/>
  <c r="P74" i="1"/>
  <c r="O74" i="1"/>
  <c r="N74" i="1"/>
  <c r="M74" i="1"/>
  <c r="P73" i="1"/>
  <c r="O73" i="1"/>
  <c r="N73" i="1"/>
  <c r="M73" i="1"/>
  <c r="P72" i="1"/>
  <c r="O72" i="1"/>
  <c r="N72" i="1"/>
  <c r="M72" i="1"/>
  <c r="P71" i="1"/>
  <c r="O71" i="1"/>
  <c r="N71" i="1"/>
  <c r="M71" i="1"/>
  <c r="P70" i="1"/>
  <c r="O70" i="1"/>
  <c r="N70" i="1"/>
  <c r="M70" i="1"/>
  <c r="P69" i="1"/>
  <c r="O69" i="1"/>
  <c r="N69" i="1"/>
  <c r="M69" i="1"/>
  <c r="P68" i="1"/>
  <c r="N68" i="1"/>
  <c r="M68" i="1"/>
  <c r="K68" i="1"/>
  <c r="P67" i="1"/>
  <c r="N67" i="1"/>
  <c r="M67" i="1"/>
  <c r="K67" i="1"/>
  <c r="P66" i="1"/>
  <c r="N66" i="1"/>
  <c r="M66" i="1"/>
  <c r="K66" i="1"/>
  <c r="P65" i="1"/>
  <c r="N65" i="1"/>
  <c r="M65" i="1"/>
  <c r="K65" i="1"/>
  <c r="J64" i="1"/>
  <c r="I64" i="1"/>
  <c r="P63" i="1"/>
  <c r="N63" i="1"/>
  <c r="M63" i="1"/>
  <c r="K63" i="1"/>
  <c r="P62" i="1"/>
  <c r="N62" i="1"/>
  <c r="M62" i="1"/>
  <c r="K62" i="1"/>
  <c r="P61" i="1"/>
  <c r="N61" i="1"/>
  <c r="M61" i="1"/>
  <c r="K61" i="1"/>
  <c r="P60" i="1"/>
  <c r="N60" i="1"/>
  <c r="M60" i="1"/>
  <c r="K60" i="1"/>
  <c r="P59" i="1"/>
  <c r="N59" i="1"/>
  <c r="M59" i="1"/>
  <c r="K59" i="1"/>
  <c r="P58" i="1"/>
  <c r="N58" i="1"/>
  <c r="M58" i="1"/>
  <c r="K58" i="1"/>
  <c r="P57" i="1"/>
  <c r="N57" i="1"/>
  <c r="M57" i="1"/>
  <c r="K57" i="1"/>
  <c r="P56" i="1"/>
  <c r="N56" i="1"/>
  <c r="M56" i="1"/>
  <c r="K56" i="1"/>
  <c r="P55" i="1"/>
  <c r="N55" i="1"/>
  <c r="M55" i="1"/>
  <c r="K55" i="1"/>
  <c r="P54" i="1"/>
  <c r="N54" i="1"/>
  <c r="M54" i="1"/>
  <c r="K54" i="1"/>
  <c r="P53" i="1"/>
  <c r="N53" i="1"/>
  <c r="M53" i="1"/>
  <c r="K53" i="1"/>
  <c r="P52" i="1"/>
  <c r="N52" i="1"/>
  <c r="M52" i="1"/>
  <c r="K52" i="1"/>
  <c r="P51" i="1"/>
  <c r="N51" i="1"/>
  <c r="M51" i="1"/>
  <c r="K51" i="1"/>
  <c r="P50" i="1"/>
  <c r="N50" i="1"/>
  <c r="M50" i="1"/>
  <c r="K50" i="1"/>
  <c r="P49" i="1"/>
  <c r="N49" i="1"/>
  <c r="M49" i="1"/>
  <c r="K49" i="1"/>
  <c r="P48" i="1"/>
  <c r="N48" i="1"/>
  <c r="M48" i="1"/>
  <c r="K48" i="1"/>
  <c r="P47" i="1"/>
  <c r="N47" i="1"/>
  <c r="M47" i="1"/>
  <c r="K47" i="1"/>
  <c r="P46" i="1"/>
  <c r="N46" i="1"/>
  <c r="M46" i="1"/>
  <c r="K46" i="1"/>
  <c r="P45" i="1"/>
  <c r="N45" i="1"/>
  <c r="M45" i="1"/>
  <c r="K45" i="1"/>
  <c r="P44" i="1"/>
  <c r="N44" i="1"/>
  <c r="M44" i="1"/>
  <c r="K44" i="1"/>
  <c r="P43" i="1"/>
  <c r="N43" i="1"/>
  <c r="M43" i="1"/>
  <c r="K43" i="1"/>
  <c r="P42" i="1"/>
  <c r="N42" i="1"/>
  <c r="M42" i="1"/>
  <c r="K42" i="1"/>
  <c r="P41" i="1"/>
  <c r="N41" i="1"/>
  <c r="M41" i="1"/>
  <c r="K41" i="1"/>
  <c r="P40" i="1"/>
  <c r="N40" i="1"/>
  <c r="M40" i="1"/>
  <c r="K40" i="1"/>
  <c r="P39" i="1"/>
  <c r="N39" i="1"/>
  <c r="M39" i="1"/>
  <c r="K39" i="1"/>
  <c r="P38" i="1"/>
  <c r="N38" i="1"/>
  <c r="M38" i="1"/>
  <c r="K38" i="1"/>
  <c r="P37" i="1"/>
  <c r="N37" i="1"/>
  <c r="M37" i="1"/>
  <c r="K37" i="1"/>
  <c r="P36" i="1"/>
  <c r="N36" i="1"/>
  <c r="M36" i="1"/>
  <c r="K36" i="1"/>
  <c r="P35" i="1"/>
  <c r="N35" i="1"/>
  <c r="M35" i="1"/>
  <c r="K35" i="1"/>
  <c r="P34" i="1"/>
  <c r="N34" i="1"/>
  <c r="M34" i="1"/>
  <c r="K34" i="1"/>
  <c r="P33" i="1"/>
  <c r="N33" i="1"/>
  <c r="M33" i="1"/>
  <c r="K33" i="1"/>
  <c r="P32" i="1"/>
  <c r="N32" i="1"/>
  <c r="M32" i="1"/>
  <c r="K32" i="1"/>
  <c r="P31" i="1"/>
  <c r="N31" i="1"/>
  <c r="M31" i="1"/>
  <c r="K31" i="1"/>
  <c r="P30" i="1"/>
  <c r="N30" i="1"/>
  <c r="M30" i="1"/>
  <c r="K30" i="1"/>
  <c r="P29" i="1"/>
  <c r="N29" i="1"/>
  <c r="M29" i="1"/>
  <c r="K29" i="1"/>
  <c r="P28" i="1"/>
  <c r="N28" i="1"/>
  <c r="M28" i="1"/>
  <c r="K28" i="1"/>
  <c r="P27" i="1"/>
  <c r="N27" i="1"/>
  <c r="M27" i="1"/>
  <c r="K27" i="1"/>
  <c r="P26" i="1"/>
  <c r="N26" i="1"/>
  <c r="M26" i="1"/>
  <c r="K26" i="1"/>
  <c r="P25" i="1"/>
  <c r="N25" i="1"/>
  <c r="M25" i="1"/>
  <c r="K25" i="1"/>
  <c r="P24" i="1"/>
  <c r="N24" i="1"/>
  <c r="M24" i="1"/>
  <c r="K24" i="1"/>
  <c r="P23" i="1"/>
  <c r="N23" i="1"/>
  <c r="M23" i="1"/>
  <c r="K23" i="1"/>
  <c r="P22" i="1"/>
  <c r="N22" i="1"/>
  <c r="M22" i="1"/>
  <c r="K22" i="1"/>
  <c r="P21" i="1"/>
  <c r="N21" i="1"/>
  <c r="M21" i="1"/>
  <c r="K21" i="1"/>
  <c r="P20" i="1"/>
  <c r="N20" i="1"/>
  <c r="M20" i="1"/>
  <c r="K20" i="1"/>
  <c r="P19" i="1"/>
  <c r="M19" i="1"/>
  <c r="K19" i="1"/>
  <c r="J19" i="1"/>
  <c r="P18" i="1"/>
  <c r="M18" i="1"/>
  <c r="K18" i="1"/>
  <c r="J18" i="1"/>
  <c r="P17" i="1"/>
  <c r="M17" i="1"/>
  <c r="K17" i="1"/>
  <c r="J17" i="1"/>
  <c r="P16" i="1"/>
  <c r="M16" i="1"/>
  <c r="K16" i="1"/>
  <c r="J16" i="1"/>
  <c r="P15" i="1"/>
  <c r="M15" i="1"/>
  <c r="K15" i="1"/>
  <c r="J15" i="1"/>
  <c r="P14" i="1"/>
  <c r="M14" i="1"/>
  <c r="K14" i="1"/>
  <c r="J14" i="1"/>
  <c r="P13" i="1"/>
  <c r="O13" i="1"/>
  <c r="N13" i="1"/>
  <c r="M13" i="1"/>
  <c r="P12" i="1"/>
  <c r="M12" i="1"/>
  <c r="K12" i="1"/>
  <c r="J12" i="1"/>
  <c r="P11" i="1"/>
  <c r="M11" i="1"/>
  <c r="K11" i="1"/>
  <c r="J11" i="1"/>
  <c r="P10" i="1"/>
  <c r="M10" i="1"/>
  <c r="K10" i="1"/>
  <c r="J10" i="1"/>
  <c r="P9" i="1"/>
  <c r="M9" i="1"/>
  <c r="K9" i="1"/>
  <c r="J9" i="1"/>
  <c r="P8" i="1"/>
  <c r="M8" i="1"/>
  <c r="K8" i="1"/>
  <c r="J8" i="1"/>
  <c r="P7" i="1"/>
  <c r="M7" i="1"/>
  <c r="K7" i="1"/>
  <c r="J7" i="1"/>
  <c r="P6" i="1"/>
  <c r="M6" i="1"/>
  <c r="K6" i="1"/>
  <c r="J6" i="1"/>
  <c r="P5" i="1"/>
  <c r="K5" i="1"/>
  <c r="J5" i="1"/>
  <c r="P4" i="1"/>
  <c r="M4" i="1"/>
  <c r="K4" i="1"/>
  <c r="J4" i="1"/>
  <c r="P3" i="1"/>
  <c r="M3" i="1"/>
  <c r="K3" i="1"/>
  <c r="J3" i="1"/>
  <c r="P2" i="1"/>
  <c r="M2" i="1"/>
  <c r="K2" i="1"/>
  <c r="J2" i="1"/>
  <c r="N2" i="1" l="1"/>
  <c r="O2" i="1"/>
  <c r="N3" i="1"/>
  <c r="O3" i="1"/>
  <c r="N4" i="1"/>
  <c r="O4" i="1"/>
  <c r="N5" i="1"/>
  <c r="O5" i="1"/>
  <c r="N6" i="1"/>
  <c r="O6" i="1"/>
  <c r="N7" i="1"/>
  <c r="O7" i="1"/>
  <c r="N8" i="1"/>
  <c r="O8" i="1"/>
  <c r="N9" i="1"/>
  <c r="O9" i="1"/>
  <c r="N10" i="1"/>
  <c r="O10" i="1"/>
  <c r="N11" i="1"/>
  <c r="O11" i="1"/>
  <c r="N12" i="1"/>
  <c r="O12" i="1"/>
  <c r="N14" i="1"/>
  <c r="O14" i="1"/>
  <c r="N15" i="1"/>
  <c r="O15" i="1"/>
  <c r="N16" i="1"/>
  <c r="O16" i="1"/>
  <c r="N17" i="1"/>
  <c r="O17" i="1"/>
  <c r="N18" i="1"/>
  <c r="O18" i="1"/>
  <c r="N19"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5" i="1"/>
  <c r="O66" i="1"/>
  <c r="O67" i="1"/>
  <c r="O68" i="1"/>
  <c r="N96" i="1"/>
  <c r="O96" i="1"/>
  <c r="N98" i="1"/>
  <c r="O98" i="1"/>
  <c r="N100" i="1"/>
  <c r="O100" i="1"/>
  <c r="M115" i="1"/>
  <c r="N115" i="1"/>
  <c r="O115" i="1"/>
  <c r="P115" i="1"/>
  <c r="M116" i="1"/>
  <c r="N116" i="1"/>
  <c r="O116" i="1"/>
  <c r="P116" i="1"/>
  <c r="M117" i="1"/>
  <c r="N117" i="1"/>
  <c r="O117" i="1"/>
  <c r="P117" i="1"/>
</calcChain>
</file>

<file path=xl/sharedStrings.xml><?xml version="1.0" encoding="utf-8"?>
<sst xmlns="http://schemas.openxmlformats.org/spreadsheetml/2006/main" count="1156" uniqueCount="405">
  <si>
    <t>Id</t>
  </si>
  <si>
    <t>Pillar</t>
  </si>
  <si>
    <t>Scope Of Service</t>
  </si>
  <si>
    <t>Capability</t>
  </si>
  <si>
    <t>Grupped</t>
  </si>
  <si>
    <t>Business Category</t>
  </si>
  <si>
    <t>Service Name</t>
  </si>
  <si>
    <t>Tiempo estimado en meses</t>
  </si>
  <si>
    <t>CSA COST</t>
  </si>
  <si>
    <t>Minimum revenue in P&amp;L</t>
  </si>
  <si>
    <t>SRP</t>
  </si>
  <si>
    <t>Google Price</t>
  </si>
  <si>
    <t>CSA COST 
EURO 2025</t>
  </si>
  <si>
    <t>Minimum revenue in P&amp;L
EURO 2025</t>
  </si>
  <si>
    <t>SRP
EURO 2025</t>
  </si>
  <si>
    <t>Google Price
EURO 2025</t>
  </si>
  <si>
    <t>talogo</t>
  </si>
  <si>
    <t>Disclaimers</t>
  </si>
  <si>
    <t>Scope</t>
  </si>
  <si>
    <t>deliverable</t>
  </si>
  <si>
    <t>Tiempo estimado de meses</t>
  </si>
  <si>
    <t>Comentarios</t>
  </si>
  <si>
    <t>Status</t>
  </si>
  <si>
    <t>CSA - Science</t>
  </si>
  <si>
    <t>CSA Science - Measurement &amp; Attribution</t>
  </si>
  <si>
    <t>Science</t>
  </si>
  <si>
    <t>Global COE</t>
  </si>
  <si>
    <t>Attribution</t>
  </si>
  <si>
    <t>MIM Bayesiano</t>
  </si>
  <si>
    <t>Digital attribution for a privacy first, post cookie world.</t>
  </si>
  <si>
    <t>Not considered into the scope:
- data cleansing or manipulation.
- Naming convention definition and/or manipulation.
- Commercial definition (CLTV, Revenue per conversion, etc.)
- platforms implementation or deployment.
- martech costs. 
- Reporting and/or consultancy hours (insights, recos, etc.)</t>
  </si>
  <si>
    <t>Model development &amp; technical maintenance of the tool online (suite Access, apis connection, etc.)</t>
  </si>
  <si>
    <t>automated modelling // outputs uploaded to online suite.</t>
  </si>
  <si>
    <t>Attribution solutions</t>
  </si>
  <si>
    <t>3 de desarrollo + 9 extra de acceso</t>
  </si>
  <si>
    <t>Active</t>
  </si>
  <si>
    <t>TV Impact</t>
  </si>
  <si>
    <t>TV Impact per run</t>
  </si>
  <si>
    <t>Quantifies the engagement on TV Ads by measures the impact of spots on Digital channels</t>
  </si>
  <si>
    <t>Not considered into the scope:
- data cleansing or manipulation.
- data extraction: it must be provided by client under science request.
- Commercial definition (CLTV, Revenue per conversion, etc.)
- platforms implementation or deployment.
- martech costs. 
- Reporting and/or consultancy hours (insights, recos, etc.)</t>
  </si>
  <si>
    <t>Model development &amp; results upload to suite + technical maintenance (Suite access)</t>
  </si>
  <si>
    <t>outputs uploaded to online suite</t>
  </si>
  <si>
    <t>TV Impact per update</t>
  </si>
  <si>
    <t>TV Impact Annual contract -  Example with 1 Report per month</t>
  </si>
  <si>
    <t>Duración de 12 meses por el tiempo de contrato, teniendo en cuenta 1 update mensual - no son los tiempos de desarrollo propiamente dichos (siguen siendo 4 semanas para modelo nuevo y 2 días para update)</t>
  </si>
  <si>
    <t xml:space="preserve">Investment Curves </t>
  </si>
  <si>
    <t>Investment Curves (by conversion:channel)</t>
  </si>
  <si>
    <t>The objective is to define the volume and distribution of the investment, a scientific recommendation of the optimal levels of investment in digital and its allocation among channels.</t>
  </si>
  <si>
    <t>Not considered into the scope:
- data cleansing or manipulation.
- Commercial definition (CLTV, Revenue per conversion, etc.)
- platforms implementation or deployment.
- martech costs. 
- Reporting and/or consultancy hours (insights, recos, etc.)</t>
  </si>
  <si>
    <t>Curves Update (by conversion:channel)</t>
  </si>
  <si>
    <t>Curves Base contract: 4 channels/2 updates</t>
  </si>
  <si>
    <t>RBA</t>
  </si>
  <si>
    <t xml:space="preserve">RBA </t>
  </si>
  <si>
    <t xml:space="preserve">Digital attribution by aggregated channel, using regression based modelling. </t>
  </si>
  <si>
    <t>Model development &amp; results (ppt file)</t>
  </si>
  <si>
    <t>Powerpoint with results &amp; graphics</t>
  </si>
  <si>
    <t>RBA Update</t>
  </si>
  <si>
    <t>RBA Base contract: model + 3 updates</t>
  </si>
  <si>
    <t>Duración de 12 meses por el tiempo de contrato, teniendo en cuenta 1 update trimestral; siguen siendo 1.5 mes para el modelo nuevo y  1 para update</t>
  </si>
  <si>
    <t>Latam COE</t>
  </si>
  <si>
    <t>MMM</t>
  </si>
  <si>
    <t>MMM Marketing Mix Modeling (without data collection process)</t>
  </si>
  <si>
    <t>Optimizes marketing spend across channels to increase sales using 'what if' scenarios.</t>
  </si>
  <si>
    <t xml:space="preserve">Not considered into the scope:
- +2 KPIs
- data extraction: it must be provided by client under science request.
- Including new variables after data review finalize
</t>
  </si>
  <si>
    <t>Model development &amp; results (ppt file) + technical maintenance (Suite access)</t>
  </si>
  <si>
    <t>Powerpoint with results &amp; graphics + outputs uploaded to online suite</t>
  </si>
  <si>
    <t>BEM</t>
  </si>
  <si>
    <t>Brand Equity Model</t>
  </si>
  <si>
    <t>Quantifies how different media channels impact key brand equity KPIs such as awareness, consideration, and preference. Helps advertisers identify which channels strengthen brand perception, optimize long-term brand-building strategies, and link media investment to upper-funnel performance</t>
  </si>
  <si>
    <t>Not considered into the scope:
- +2 KPIs
- Including new variables after data review finalize
- Data extraction: it must be provided by client under science request</t>
  </si>
  <si>
    <t>Nested Model</t>
  </si>
  <si>
    <t>Nested (MMM + BEM) without Data Collection</t>
  </si>
  <si>
    <t>Provides a holistic view of the impact of media on brand equity and sales.</t>
  </si>
  <si>
    <t>Geolift</t>
  </si>
  <si>
    <t>GeoLift offers you information about the incrementality of your marketing campaigns. We ensure clearer causality that provides actionable feedback in the short term for targeted marketing strategies and decision-making.</t>
  </si>
  <si>
    <t>Not considered into the scope:
- data cleansing or manipulation.
- platforms implementation or deployment.
- martech costs. 
- Reporting and/or consultancy hours (insights, recos, etc.)</t>
  </si>
  <si>
    <t>Acompañamiento en primer setup de herramienta / a posteriori la idea es que la herramienta sea autogestionable</t>
  </si>
  <si>
    <t>Autogestionable por los equipos de Havas</t>
  </si>
  <si>
    <t>MMM Lite</t>
  </si>
  <si>
    <t>Provide a holistic view of the impact of media on sales</t>
  </si>
  <si>
    <t>Not considered into the scope:
- +2 KPIs
- Analisis of any other variable non-related to media: promotions, competitors, price, etc
- Including new variables after data review finalize
- Data extraction: it must be provided by client under science request</t>
  </si>
  <si>
    <t>CSA Science - Creative Testing</t>
  </si>
  <si>
    <t>C- Perform</t>
  </si>
  <si>
    <t>C- Perform set up + 4 month access</t>
  </si>
  <si>
    <t>Predicts the performance results of creatives before launching campaigns.</t>
  </si>
  <si>
    <t xml:space="preserve">Not considered into the scope:
-+2 KPIs of creative performance
- Data extraction for the images needed to build up the model
</t>
  </si>
  <si>
    <t>CSA Science - Science Consulting</t>
  </si>
  <si>
    <t>C- Perform - monthly access</t>
  </si>
  <si>
    <t>C- Nested</t>
  </si>
  <si>
    <t>Integrates media indicators (MMM) with brand health metrics, determining their contribution to sales.</t>
  </si>
  <si>
    <t>CSA - Tech</t>
  </si>
  <si>
    <t>CSA Tech - Data Integration &amp; Activation</t>
  </si>
  <si>
    <t>Tech</t>
  </si>
  <si>
    <t>Google</t>
  </si>
  <si>
    <t>Data Integration</t>
  </si>
  <si>
    <t>1PD Integration (until 15 sources) - Google</t>
  </si>
  <si>
    <t>This solution is a Tech Maturity Project (TMP) designed to automate and consolidate the ingestion of first-party data (1PD) to improve the ROI of marketing investments. It enhances the security, quality, and freshness of data that is currently sent manually to GMP platforms. With 1PD integration, data can be automated and seamlessly transferred to any cloud, CRM, or platform</t>
  </si>
  <si>
    <t>Billing associated with the use of Tightlock via GCP is not included. The approximate cost is USD 80, which will be reflected in the client's GCP billing.
It does not include the creation of tables with offline data in BigQuery.</t>
  </si>
  <si>
    <t>Better Segmentation and Personalization
Advertising Performance Optimization
Integration with Google Cloud &amp; BigQuery
Data Security and Protection</t>
  </si>
  <si>
    <t>Detailed audit of the 9 available sources for integration
Creation of the Tightlock environment within 1PD Scheduler using GCP
Connection between sources and offline data available in BigQuery for automatic linking
Tightlock user manual
Knowledge transfer session</t>
  </si>
  <si>
    <t>CSA Tech - Tech Consulting</t>
  </si>
  <si>
    <t>GA4</t>
  </si>
  <si>
    <t>Online Data Optimization - Basic</t>
  </si>
  <si>
    <t>Real-time data optimization to improve the accuracy and efficiency of Google Analytics and GTM, aiming to achieve enhancements in digital marketing campaigns, data analysis, and experience personalization on platforms such as Google Ads, Google Analytics, BigQuery, and Google Cloud.</t>
  </si>
  <si>
    <t>The implementation of the client-side code from the measurement guide is not included
A GCP project for the connection with BQ is not included in applicable cases</t>
  </si>
  <si>
    <t>Creation of GA4 and GTM property
Creation of data streams: Web, Android, iOS (as applicable)
Activation of enhanced measurement
Configuration for data collection</t>
  </si>
  <si>
    <t>Complete checklist with details, recommendations, and updates performed
Event measurement guide
Dashboard in cases where it is included according to implementation
GA4 training in cases where it is included according to implementation</t>
  </si>
  <si>
    <t>Online Data Optimization - sites without E-commerce</t>
  </si>
  <si>
    <t>Addition of recommended events, custom events, and custom parameters
Activation of conversion events
Link to BigQuery
Activation of Google Signals
Link to Google Ads
Creation of GA audiences
Account architecture</t>
  </si>
  <si>
    <t>Online Data Optimization - sites with E-commerce</t>
  </si>
  <si>
    <t>GA conversions bidding
GA4 training
Delivery of implementation documentation
Link to GMP
Addition of extra custom events
Implementation of e-commerce measurement</t>
  </si>
  <si>
    <t>CSA Tech - Data Management &amp; Engineering</t>
  </si>
  <si>
    <t>Merchant Center</t>
  </si>
  <si>
    <t>MC Content API</t>
  </si>
  <si>
    <t>This solution is a Tech Maturity Project (TMP) that enables the exploitation of the Merchant Center API and integration with various e-commerce tools.</t>
  </si>
  <si>
    <t>Automate the process of uploading products to Google Merchant Center, avoiding errors and delays in the upload.
Improve the customer experience by having product information synchronized and unified across tools.
Create supplemental feeds or primary feeds using the attributes from e-commerce tools.</t>
  </si>
  <si>
    <t>Connection to the GMC API.
Process documentation.
Creation of the feed from the e-commerce platform to GMC.</t>
  </si>
  <si>
    <t>META</t>
  </si>
  <si>
    <t>Server Side Solutions</t>
  </si>
  <si>
    <t>CAPI via Partner Integrations (Vtex, Magento, etc.)</t>
  </si>
  <si>
    <t>It is a way to implement the Conversion API (CAPI) through third-party platforms such as Shopify, WooCommerce, or Google Tag Manager, which automatically connect to the advertising platform and send conversion events from their own servers, without relying on the browser.</t>
  </si>
  <si>
    <t>The billing associated with the use of GCP is not included in the quotation and project.
The approximate cost is $80 per month, which will be reflected in the client’s GCP billing if using Tealium, GTM, or other similar partners. If creation by CSA is required, an email must be sent with a copy to Profit for project activation in billing. The creation will be carried out by our technical team, which will provide the necessary access. Each month, the client will be billed for its usage. It can be transferred to the client in the future if needed. Approx. 2 hours for creation.</t>
  </si>
  <si>
    <t>Simplified implementation
Greater accuracy in event tracking
Better campaign performance
Compliance with privacy
Reduction of discrepancies</t>
  </si>
  <si>
    <t>Implementation in Business Manager
Implementation in the e-commerce tool
Validation of events coming from CAPI via partners
Analysis of event quality (General events &gt; 4.4 &amp; Purchase events &gt; 5.5)</t>
  </si>
  <si>
    <t>Ejemplo NISSAN</t>
  </si>
  <si>
    <t>CAPI x Gateway by CSA - look for special ratecard</t>
  </si>
  <si>
    <t>Meta solution that enables a direct connection between marketing data and systems that help optimize ad targeting, reduce cost per action, and measure results across Meta technologies.</t>
  </si>
  <si>
    <t xml:space="preserve">Greater accuracy in conversion tracking
Reduced dependency on cookies
Enhanced security and control over data
Improved performance in advertising campaigns
Scalability and flexibility
</t>
  </si>
  <si>
    <t>Implementation in Business Manager
Implementation in CSA Latam DNS
Validation of events received from CAPI via Gateway
Event quality analysis (General events &gt; 4.4 &amp; Purchase events &gt; 5.5)</t>
  </si>
  <si>
    <t>CAPI Automated Offline Integration with CRM</t>
  </si>
  <si>
    <t>Implementing CAPI (Conversion API) with a CRM allows sending events from the server directly to Meta (Facebook) from the CRM, improving attribution and ad optimization without relying on browser cookies.
Many leads or conversions occur outside the website (for example, if someone makes a purchase via call center and that data is recorded in the CRM). These events cannot be tracked using pixels or browser scripts.
CAPI, together with the CRM, enables:
Sending those events directly from the CRM to Meta.
Attributing conversions to the correct campaigns.
Automatically optimizing ads using that data.</t>
  </si>
  <si>
    <t>Real attribution of offline conversions
Automatic campaign optimization
Full automation (no human intervention)
Complete funnel visibility
Higher return on ad spend (ROAS)</t>
  </si>
  <si>
    <t>Solution architecture
Guide and usage
Specification of offline events
Knowledge transfer session</t>
  </si>
  <si>
    <t>CAPI via CSA Gateway – 1PD Delivery</t>
  </si>
  <si>
    <t>It is a solution based on Google Cloud infrastructure to manage and send conversion events directly from the server to advertising platforms such as Meta (Facebook).
Instead of relying on the browser and cookies, CAPI Gateway allows sending data server-to-server (S2S) using GCP services.</t>
  </si>
  <si>
    <t>The billing associated with the use of GCP is not included in the quotation and project. The approximate cost is $80 per month, which will be reflected in the client’s GCP billing.</t>
  </si>
  <si>
    <t>Greater accuracy in conversion tracking
Reduced reliance on cookies
Increased security and control over data
Better performance in advertising campaigns
Scalability and flexibility</t>
  </si>
  <si>
    <t>Implementation in the client’s GCP
Implementation in Business Manager
Implementation in DNS
Validation of events coming from CAPI via Gateway
Analysis of event quality (General events &gt; 4.4 &amp; Purchase events &gt; 5.5)</t>
  </si>
  <si>
    <t>CAPI for Business Messaging (WhatsApp)</t>
  </si>
  <si>
    <t>The implementation of the CAPI Gateway for WhatsApp involves connecting the WhatsApp Business API with Meta’s Conversion API (CAPI), allowing server-side events to be sent to Meta to improve attribution and optimize advertising campaigns.</t>
  </si>
  <si>
    <t>Greater accuracy in conversion measurement
More effective campaign optimization
Enhanced control and data security
Omnichannel tracking
Improved ROAS and attribution</t>
  </si>
  <si>
    <t>Solution architecture
Guide and usage
Event specification
Knowledge transfer session</t>
  </si>
  <si>
    <t>Geo Lift</t>
  </si>
  <si>
    <t>Conversion LIFT by META</t>
  </si>
  <si>
    <t>Geo Lift ? Si es esta solución, lo completo el equipo de Science</t>
  </si>
  <si>
    <t>CAPI via Other Partner Integrations (GTM/Tealium)</t>
  </si>
  <si>
    <t>The quotation and project do not include billing associated with the use of GCP.
The approximate cost is $80 per month, which will appear on the client’s GCP billing, in case the implementation uses Tealium, GTM, or similar partners. If creation by CSA is required, an email must be sent with a copy to Profit for project activation in billing. Our technical team will handle the setup and provide the necessary access. The client will be billed monthly for its usage. This setup can be transferred to the client in the future if needed. Estimated time for creation: approximately 2 hours.</t>
  </si>
  <si>
    <t>Simplified implementation
Greater accuracy in event tracking
Improved campaign performance
Privacy compliance
Reduction of discrepancies</t>
  </si>
  <si>
    <t>Implementation in Business Manager
Implementation in the e-commerce platform
Validation of events received from CAPI via partners
Event quality analysis (General events &gt; 4.4 &amp; Purchase events &gt; 5.5)</t>
  </si>
  <si>
    <t>CAPI via Direct Code Integration</t>
  </si>
  <si>
    <t xml:space="preserve">Ver PRESENTACION META CAPI.  </t>
  </si>
  <si>
    <t>APIs Public</t>
  </si>
  <si>
    <t>This solution enables a direct connection with various APIs available in the market to optimize data and processes.</t>
  </si>
  <si>
    <t>Google 2024</t>
  </si>
  <si>
    <t>APIs Administration</t>
  </si>
  <si>
    <t>APIs Private</t>
  </si>
  <si>
    <t>Training - GMP</t>
  </si>
  <si>
    <t>Google Analytics 4  (5x sessions)</t>
  </si>
  <si>
    <t>App Measurement</t>
  </si>
  <si>
    <t>Full Value of Web And App</t>
  </si>
  <si>
    <t>This solution is a Tech Maturity Project (TMP) consisting of a five-session training program—both theoretical and hands-on—focused on the management and configuration of deep links, including the latest updates</t>
  </si>
  <si>
    <t xml:space="preserve">Implementation from the CSA side in the client’s application code is not included.
</t>
  </si>
  <si>
    <t>Channel Integration
User Experience Optimization
Measurement and Analysis
Value-Based Bidding Strategies
Higher Conversions</t>
  </si>
  <si>
    <t>Theoretical material
Practical material
Implementation and theory sessions
Support in code implementation</t>
  </si>
  <si>
    <t>LookerStudio (5x 1‑hour sessions each)</t>
  </si>
  <si>
    <t>Training - Cloud</t>
  </si>
  <si>
    <t>GCP + BQ (5x 1‑hour sessions each)</t>
  </si>
  <si>
    <t>Custom Bidding</t>
  </si>
  <si>
    <t>This solution is a Tech Maturity Project (TMP) that enables us to customize our clients' bidding strategies based on the signals they consider valuable from Floodlight or GA360.</t>
  </si>
  <si>
    <t>Enables campaign optimization based on selected key performance indicators
Provides differentiation from competitors and covers the entire marketing funnel
Allows campaign optimization to achieve the following:
Weighted conversions
ROAS
Floodlight variables
Google Analytics goals</t>
  </si>
  <si>
    <t>Implemented architecture
Campaign creation with support from Havas in DV360
Reporting in DV360 for results analysis
Knowledge transfer session</t>
  </si>
  <si>
    <t>Audience Strategy</t>
  </si>
  <si>
    <t>This solution is a Tech Maturity Project (TMP) that enables the development of audience activation strategies based on first-party data (1PD). It is key to gaining a competitive advantage, personalizing product and service offerings, building loyalty, and expanding or excluding user segments at each stage of the customer journey in a durable and privacy-centric way.</t>
  </si>
  <si>
    <t>The quotation and project do not include billing associated with the use of AI, BQML, or other services via GCP. The cost depends on the number of calls made to the model and may vary between X and Y.
Creation of the GCP project is not included.</t>
  </si>
  <si>
    <t>First-hand data
Audience expansion/exclusion
Activate audience strategies on CTV</t>
  </si>
  <si>
    <t>Functional infrastructure
Connection with Looker
Delivery of diagnostic report
Audience dashboard
First experiment
User manual
Knowledge transfer session</t>
  </si>
  <si>
    <t>Omnichannel Optimization</t>
  </si>
  <si>
    <t>OO: Google Ads Manual</t>
  </si>
  <si>
    <t>Deprecó</t>
  </si>
  <si>
    <t>Inactive</t>
  </si>
  <si>
    <t>OO: Conv Offline  CRM</t>
  </si>
  <si>
    <t xml:space="preserve">This project ensures seamless integration between digital and physical channels to achieve complete traceability of the user journey across different channels.
</t>
  </si>
  <si>
    <t>Provides a unified experience across multiple channels, improving customer satisfaction and loyalty.
Allows advertisers to import offline (or untrackable) conversion events directly into Google Ads for reporting and bid optimization.
Enables media campaign optimization based on final conversions.</t>
  </si>
  <si>
    <t>Allows uploading offline conversions using the automatic conversion upload methodology to enable data matching with Google tools.
It is important to have GCLID or hashed PII data that can be viewed in the CRM and in another Google tool.</t>
  </si>
  <si>
    <t>OO: Conv Offline  BBDD</t>
  </si>
  <si>
    <t>Allows uploading offline conversions using the automatic conversion upload methodology to enable data matching with Google tools.
It is important to have hashed PII data that can be accessed in the cloud or in the available database and in another Google tool.</t>
  </si>
  <si>
    <t>Feed Optimization</t>
  </si>
  <si>
    <t>Shopping Insider Clasic</t>
  </si>
  <si>
    <t>This solution is a Tech Maturity Project (TMP) designed to improve product uploads and Performance Max (PMax) in Merchant Center. It allows users to resolve issues through a control dashboar</t>
  </si>
  <si>
    <t>deprecó</t>
  </si>
  <si>
    <t>Shopping Insider / Feed AI</t>
  </si>
  <si>
    <t>This solution is a Tech Maturity Project (TMP) that uses generative artificial intelligence to optimize product feeds in Merchant Center and improve the performance of shopping campaigns. It requires integration with Google Merchant Center, configuration of optimization parameters, and continuous performance monitoring.</t>
  </si>
  <si>
    <t>FeedGenAI costs on Google Cloud
Project creation in GCP (requires additional request)
Monthly service billing (can be transferred to the client)</t>
  </si>
  <si>
    <t>Automation and Optimization
Better ad performance
Product feed generation
Data transformation
Load automation
Data optimization</t>
  </si>
  <si>
    <t>Document with AI and Merchant Center integration
Knowledge transfer
User manual</t>
  </si>
  <si>
    <t>Convertion Rate Optimization</t>
  </si>
  <si>
    <t>Conversión Optimizer UX-UI</t>
  </si>
  <si>
    <t>This solution is a Tech Maturity Project (TMP) designed to improve user experience in order to increase website conversion rates through faster loading times and smoother navigation.
Although this is a solution offered under Google’s TMP framework, CSA also provides a similar solution under its Consulting pillar, with the same objective with a custom scope</t>
  </si>
  <si>
    <t>Improvement of sales and conversion rate.
Optimization of loading times, benefiting the user and boosting your digital channels such as sales.</t>
  </si>
  <si>
    <t>Evaluation of the client’s measurement system (GA4 web/app)
Proposal to improve page loading speed after web.devfast and Core Web Vitals audit
Proposal for best practices in design, copywriting, and UX
Formulation of A/B tests to measure the impact of the proposed changes</t>
  </si>
  <si>
    <t>AI Recomendations</t>
  </si>
  <si>
    <t xml:space="preserve">Retail Discovery AI </t>
  </si>
  <si>
    <t>This solution is a Tech Maturity Project (TMP) that leverages Google’s AI to personalize the user experience in e-commerce by using search signals and events to deliver relevant recommendations.
It requires proper integration with the e-commerce platform and an evaluation of its impact on conversion rates.</t>
  </si>
  <si>
    <t>Improves the user experience.
Increases sales with recommendations for complementary or higher-value products.
Reduces abandoned carts, increasing your profits.</t>
  </si>
  <si>
    <t>Installation of Discovery AI in GCP and connection to Retail API on the website (Support from the site’s developers is required).
Model enriched with GA4 data.
Generate A/B tests on the client’s web/app to show the lift and impact of AI.</t>
  </si>
  <si>
    <t>E-retailers</t>
  </si>
  <si>
    <t>Co-Op 4 All</t>
  </si>
  <si>
    <t>Solution that facilitates reporting and optimization by leveraging the retailer’s GA4.
It allows brand manufacturers to access sales data generated on their retailer’s site and optimize the management of those sales in a fully private and secure way for all parties involved.</t>
  </si>
  <si>
    <t>The quotation and project do not include billing associated with the use of AI, BQML, among others via GCP. The cost depends on the number of calls made to the model and may vary between X and Y.
Does not include the creation of the GCP project.</t>
  </si>
  <si>
    <t>Marketing budget optimization
Greater efficiency in advertising campaigns
Better segmentation and personalization
Transparency and real-time measurement
Increase in sales and conversions
Process automation</t>
  </si>
  <si>
    <t>Functional infrastructure: Web interface that allows users to manage and monitor their campaigns effectively. A key feature of the platform is the provision of dashboards that display key metrics on campaign performance, enabling brands and retailers to analyze and optimize their marketing strategies.
User manual
Knowledge transfer
Dashboard: A key feature of the platform is the provision of dashboards that display key metrics on campaign performance, enabling brands and retailers to analyze and optimize their marketing strategies.</t>
  </si>
  <si>
    <t>Dynamic Conversion Optimization</t>
  </si>
  <si>
    <t>DCO Basic</t>
  </si>
  <si>
    <t>This solution enhances the performance of your advertising activities and reduces creative production time. Using Dynamic Creative Optimization (DCO), it enables the creation of multiple variations by setting specific rules for each segment or audience</t>
  </si>
  <si>
    <t>The quotation does not include the creation of images/videos/copies; these must be provided by the client.
Costs for integration with third-party data sources are not included.</t>
  </si>
  <si>
    <t>Random rotation of creatives up to 20 variants. Ideal for A/B testing.
Optimization of rotation based on best-performing creatives.
Creative assets are not included.</t>
  </si>
  <si>
    <t>Design of base assets in Google Web Designer
Template (Sheets) connection with Studio
User manual
Knowledge transfer</t>
  </si>
  <si>
    <t>DCO Intermediate</t>
  </si>
  <si>
    <t>Rotation of creatives based on variable data such as time of day, weather, among others.
Up to 20 variants.
Creative assets are not included.</t>
  </si>
  <si>
    <t>DCO Advanced</t>
  </si>
  <si>
    <t>Rotation of creatives based on external data variables that require integration.
Creative assets are not included.
Costs for third-party data services are not included, e.g., sports results or product feeds.</t>
  </si>
  <si>
    <t>AI Content Creation</t>
  </si>
  <si>
    <t>Topic mind + DCO</t>
  </si>
  <si>
    <t>Quitar (duplicación)</t>
  </si>
  <si>
    <t>Topic Mine</t>
  </si>
  <si>
    <t>This solution enables the development of dynamic, real-time text content based on customer trends and needs using Gemini and Google Trends.</t>
  </si>
  <si>
    <t>It requires integration with media platforms and continuous monitoring of creative performance.
The quotation and project do not include billing associated with the use of AI via GCP. The cost depends on the number of calls to be made and may range from $3 to $10.</t>
  </si>
  <si>
    <t>Real-Time Trend Discovery
Automated Analysis with Artificial Intelligence
Optimization of Marketing and Advertising Strategies
Improved Decision-Making with Actionable Data
Scalability and Efficiency in Data Processing</t>
  </si>
  <si>
    <t>Document in Sheets with AI and Google Trends integration
Connection with Studio to deploy assets
Knowledge transfer to the client
User manual
Connection with DV360 or Search Ads</t>
  </si>
  <si>
    <t>Predictive Models</t>
  </si>
  <si>
    <t xml:space="preserve">AMA Predictive Modeling per model
</t>
  </si>
  <si>
    <t>This solution is a Tech Maturity Project (TMP) aimed at developing, calibrating, and implementing one of the following solutions using Google platforms, with the goal of optimizing media investment.</t>
  </si>
  <si>
    <t>Data Driven Atribution  (GA4 - CM - SADS)</t>
  </si>
  <si>
    <t>This solution is focused on developing, calibrating, and implementing one of the following attribution models:
GA4 Data-Driven Attribution Model
CM360 Data-Driven Attribution Model
SA360 Data-Driven Attribution Model</t>
  </si>
  <si>
    <t xml:space="preserve">Does not include the media campaign activation process.
</t>
  </si>
  <si>
    <t>Assign Credit Based on Real Data (Not Fixed Rules)
Automatic Optimization in Google Ads and DV360
Improvement of Return on Ad Spend (ROAS) and Reduction of CPA
Integration with Google Analytics 4 and Search Ads 360
Dashboards with Actionable Insights</t>
  </si>
  <si>
    <t>The final deliverable for Data-Driven Attribution (DDA) in Google Ads, GA4, Search Ads 360, or DV360 is a set of reports, insights, and automated optimizations that help improve the performance of advertising campaigns.
Attribution reports in Google Ads/GA4
Data export to other platforms
Knowledge transfer to the client
User manual
Connection with Google Ads, GA4, DV360, or Search Ads</t>
  </si>
  <si>
    <t>Data Clean Rooms</t>
  </si>
  <si>
    <t>Data Clean Rooms (AdsDataHub)</t>
  </si>
  <si>
    <t>This solution focused on continuously measuring and increasing the effectiveness and efficiency of marketing budgets in a privacy-centric way.
Data Clean Rooms (DCRs) are advanced security environments in GCP that allow for the merging, analysis, and sharing of event-level data in an aggregated, hashed format—without exposing underlying data.</t>
  </si>
  <si>
    <t xml:space="preserve">Privacy-safe environment to measure campaign effectiveness, create custom audiences, accurately attribute conversions to channels and campaigns, and optimize campaigns.
</t>
  </si>
  <si>
    <t>Tik Tok</t>
  </si>
  <si>
    <t>TIK TOK Server Side</t>
  </si>
  <si>
    <t>TikTok Server Side Tracking is an advanced way to measure the performance of your advertising campaigns without your data being affected by browser restrictions or privacy tools.</t>
  </si>
  <si>
    <t>Pedir info a Juani</t>
  </si>
  <si>
    <t>Google Consent Mode</t>
  </si>
  <si>
    <t>Google Consent Mode (must include a CPM)</t>
  </si>
  <si>
    <t>VIGenAIr</t>
  </si>
  <si>
    <t xml:space="preserve">ViGenAiR leverages the power of Gemini on Google Cloud to easily transform video ads into shorter versions and various formats. It allows you to choose between AI-suggested variants or take creative control with manual editing to generate ads tailored to desired audiences.
</t>
  </si>
  <si>
    <t>The creation of images is not included in the quotation; they must be provided by the client.
Audio creation/editing is not included.</t>
  </si>
  <si>
    <t>Increase brand awareness
Create high-quality videos
Drive consideration
Reduce post-production cost and time
Easy-to-use web application</t>
  </si>
  <si>
    <t>The final rendered videos (in .mp4)
A ZIP file with all results (clips + analysis)
A report:
Screenshots of the videos
Duration and format
Usage recommendations
Knowledge transfer</t>
  </si>
  <si>
    <t>Enhance Conversions</t>
  </si>
  <si>
    <t>Performance Powered Conversions (ECL)</t>
  </si>
  <si>
    <t>Does not include the configuration of the database with the client's offline transaction information.</t>
  </si>
  <si>
    <t>Automatic Optimization with AI
Access to All Google Ads Channels
Improvement in Conversion Quality
Use of First-Party Data</t>
  </si>
  <si>
    <t>Web tagging and lead in GTM.
Hashed variables with email or phone info.
Implementation in GAds.
Architecture design for offline data upload to Google Ads.
Knowledge transfer session.</t>
  </si>
  <si>
    <t>Campaign Automation</t>
  </si>
  <si>
    <t>Value Centric Measurement</t>
  </si>
  <si>
    <t>It focuses on optimizing advertising campaigns based on the actual value each conversion brings to the business, rather than solely on the number of conversions.
VCM adds a quality signal to Google's AI systems that helps maximize client performance, enabling more accurate measurement and improving the calculation speed for automated bidding.</t>
  </si>
  <si>
    <t xml:space="preserve">Does not include the creation or auditing of tags outside those stipulated for Value Centric Measurement.
</t>
  </si>
  <si>
    <t>Maximization of Return on Investment (ROI)
Smarter Bidding Strategies
Better Targeting and Personalization
Machine Learning-Based Optimization
Integration with BigQuery and Google Analytics 4
More Accurate Measurement in a Cookie-Free Environment
More Actionable Reports</t>
  </si>
  <si>
    <t>Creation and configuration of the conversion
GTM tag implementation
Strategy activation in campaign
Monitoring
Connection between sources and offline data available in BigQuery in case automatic connection is desired
Knowledge transfer session</t>
  </si>
  <si>
    <t>Whatsapp - Measurement</t>
  </si>
  <si>
    <t>Whatsapp Conversions Import</t>
  </si>
  <si>
    <t>Allows advertisers to integrate and track conversions that occur in chats from WhatsApp Business accounts.
This tool links clicks on Google Ads that lead to WhatsApp conversations (“click to chat”) with final conversions, such as scheduled events or purchases made through the messaging app.</t>
  </si>
  <si>
    <t>The quotation and project do not include billing associated with the use of Tightlock via GCP. The approximate cost is 80 USD, which will be reflected in the client's GCP billing.</t>
  </si>
  <si>
    <t>Accurate Measurement of WhatsApp Conversions
Optimization of Advertising Campaigns
Improved Return on Investment (ROI)
Facilitates Segmentation and Remarketing
Use of First-Party Data</t>
  </si>
  <si>
    <t>Implemented architecture
Creation of the conversion in Google Ads
Activation of Customer Match for audience targeting using WCI information, if required by the client
Knowledge transfer</t>
  </si>
  <si>
    <t>Appcellence</t>
  </si>
  <si>
    <t xml:space="preserve">Leverages Gemini 1.5 Pro to understand videos, web pages, and documents, providing a deep, reliable, and consistent automated quality assessment of the application.
</t>
  </si>
  <si>
    <t>Quickly provide a detailed report highlighting the application's strengths and weaknesses based on guidelines.
Provide practical recommendations to improve the application.
Negligible or nearly free cost compared to expensive engagements with experts and auditing agencies.</t>
  </si>
  <si>
    <t>A detailed report highlighting the application's strengths and weaknesses based on the guidelines.
Scores out of 10 based on the application's compliance with the guidelines.
Practical recommendations to improve the application
Knowledge transfer to the client
User manual</t>
  </si>
  <si>
    <t>Creative Tech</t>
  </si>
  <si>
    <t>AI Video</t>
  </si>
  <si>
    <t>ABCD Detector (Google implementation)</t>
  </si>
  <si>
    <t>The ABCD Detector is a tool that leverages Google's AI to evaluate video ads based on YouTube's ABCD framework.
This framework—Attention, Branding, Connection, and Direction—is essential for creating ads that capture attention, resonate with viewers, and drive action.
The tool fully automates this process through an intuitive graphical interface that allows users to upload and analyze multiple videos simultaneously. By leveraging artificial intelligence, it generates evaluations in just a few seconds, delivering high-quality reports with concrete, actionable recommendations to improve content, while also enabling efficient and scalable analysis of large volumes of audiovisual assets.</t>
  </si>
  <si>
    <t>The quotation and project do not include billing associated with the use of AI via GCP. The cost depends on the number of calls made and can range from 5 USD to 120 USD.
Does not include the creation of the GCP project.</t>
  </si>
  <si>
    <t>Automatic and Data-Driven Analysis
Higher Engagement and Conversion
Creative Optimization Without Manual Testing
Integration with Google Ads
Insights and Actionable Report</t>
  </si>
  <si>
    <t>Access to the platform for managing and analyzing video ads.
A set of detailed reports and strategic recommendations based on the analysis of video ads on YouTube and Google Ads.
Actionable optimization recommendations aimed at improving creative and advertising performance.
Knowledge transfer to the client to ensure proper interpretation of results and effective use of the tool.
User manual for the operation and optimal utilization of the platform.
Export and integration capabilities with advertising tools such as Google Ads and YouTube Ads.</t>
  </si>
  <si>
    <t>Advanced Predictive Leads Value</t>
  </si>
  <si>
    <t>It is a project that uses advanced predictive models to assign values to leads based on their likelihood of conversion and revenue potential.
It is a functional and scalable system that delivers recommended actions per lead_id.
It predicts the conversion rate/value at the lead generation point. These values are sent to Google Ads/Analytics within 24 hours to increase the accuracy of real-time bidding.</t>
  </si>
  <si>
    <t>The quotation and project do not include billing associated with the use of AI, BQML, and others via GCP. The cost depends on the number of calls made to the model and can range between X and Y.
Does not include the creation of the GCP project.</t>
  </si>
  <si>
    <t>Prediction of each lead’s future value
Optimization of advertising campaigns based on quality, not just quantity — with integration in Google Ads and GA4, you can:
Automated lead scoring
Better alignment between marketing and sales</t>
  </si>
  <si>
    <t>Trained predictive model (format .pkl or .joblib)
Prediction table in BigQuery
Active integration with GA4 and/or Google Ads (if applicable)
Scheduled pipeline to retrain every X weeks</t>
  </si>
  <si>
    <t>Crystal Value</t>
  </si>
  <si>
    <t>This tool allows advertisers to build effective machine learning models to predict the lifetime value of their customers, based on the company’s own data. It enables the estimation of Predictive Customer Lifetime Value (pLTV) using Google Cloud.</t>
  </si>
  <si>
    <t>Advertising budget optimization
Advanced predictive segmentation
Churn rate reduction
Better data-driven decision-making
Greater efficiency in remarketing campaigns
Seamless integration with Google Cloud and BigQuery
Personalized customer experience</t>
  </si>
  <si>
    <t>Functional infrastructure
Table within BigQuery containing the information
User manual
Knowledge transfer</t>
  </si>
  <si>
    <t>Future Customer Values</t>
  </si>
  <si>
    <t>It is a predictive model developed by Google designed to estimate the future value of customers over time, using probabilistic models to calculate and predict customer lifetime value.</t>
  </si>
  <si>
    <t>They are not included within the quotation and project: the billing associated with the use of AI, BQML, among others, via GCP. The cost depends on the number of calls made to the model; the cost may vary between X and Y.
It does not include the creation of the GCP project.</t>
  </si>
  <si>
    <t xml:space="preserve">
AI-Based Smart Segmentation
Campaign Optimization in Google Ads and DV360
Churn Reduction and Increased Retention
Maximization of Lifetime Value (LTV)</t>
  </si>
  <si>
    <t>META  Campaign upload automation</t>
  </si>
  <si>
    <t>It is a solution designed to streamline the launch of advertising campaigns by enabling the marketing team to create complete structures through a single spreadsheet. It minimizes operational time, reduces human error, and eliminates reliance on manual interfaces. The system supports multiple markets, accounts, and languages, provides automatic validation and detailed records of all created assets, and allows easy adjustments to budgets, dates, and creatives.</t>
  </si>
  <si>
    <t>Allow the marketing team to launch complete campaigns (campaign → ad set → ad) by filling out only a spreadsheet, minimizing operational time, human errors, and reliance on manual interfaces.</t>
  </si>
  <si>
    <t>Creation of the Sheets structure.
Reading and automation of a trigger for each record.
Creation of a campaign based on the sheet data.</t>
  </si>
  <si>
    <t>C-GenIA</t>
  </si>
  <si>
    <t>Optimize creatives for Always-On and social media campaigns using artificial intelligence and advanced analytics. Identify the visual and messaging elements that drive the best results, enabling dynamic adjustments to enhance campaign performance in real time.</t>
  </si>
  <si>
    <t>CSA Science - Brand Diagnosis</t>
  </si>
  <si>
    <t>Path to brand equity</t>
  </si>
  <si>
    <t>Maps the key drivers and stages that impact brand health—from awareness to loyalty. Helps advertisers identify where to focus efforts to improve brand perception, prioritize actions across the funnel, and align media and messaging to build brand equity sustainably.</t>
  </si>
  <si>
    <t>CSA Science - Customer Analytics</t>
  </si>
  <si>
    <t>Propensity models</t>
  </si>
  <si>
    <t>Estimate the likelihood that a customer will take a specific action (such as making a purchase, signing up, or engaging) in response to a marketing stimulus. Enable more precise audience segmentation, campaign optimization, and resource allocation toward those with the highest conversion potential—improving advertising spend efficiency.</t>
  </si>
  <si>
    <t>CLTV Prediction</t>
  </si>
  <si>
    <t>Estimates the future economic value a customer or prospect will generate for the company throughout their relationship with the brand. Helps prioritize investments in retention and acquisition, optimize loyalty strategies, and maximize long-term profitability across customer segments.</t>
  </si>
  <si>
    <t>Next best offer</t>
  </si>
  <si>
    <t>Recommends the most relevant offer for each customer based on their behavior, history, and preferences. Enables personalized experiences, increases conversion likelihood, and optimizes marketing campaign ROI.</t>
  </si>
  <si>
    <t>CSA Science - Market Simulation</t>
  </si>
  <si>
    <t>Agent Based Model</t>
  </si>
  <si>
    <t>Simulates individual consumer behavior to understand how they respond to different marketing stimuli. Enables the modeling of complex interactions and the forecasting of market dynamics, helping identify growth drivers and optimize campaigns in highly dynamic or segmented contexts</t>
  </si>
  <si>
    <t>Forecasting Models</t>
  </si>
  <si>
    <t>Forecast future demand for products or services, enabling efficient planning of marketing, production, and distribution strategies. Anticipate market changes, adjust budgets, and make data-driven decisions to maximize results and minimize risks.</t>
  </si>
  <si>
    <t>MMM Benchmarks tool</t>
  </si>
  <si>
    <t>Leverages benchmark data from multiple models to suggest the most effective media mix based on brand type, category, or market. Enables more informed budget allocation decisions—even before having a proprietary model in place.</t>
  </si>
  <si>
    <t>Ad Hoc Services</t>
  </si>
  <si>
    <t>Tech Services Ad Hoc</t>
  </si>
  <si>
    <t>Science Ad Hoc</t>
  </si>
  <si>
    <t>Catalogs Automation</t>
  </si>
  <si>
    <t>META Bulk Upload of Catalogs</t>
  </si>
  <si>
    <t xml:space="preserve">Feeding the catalog with static feeds (CSV/XML) manually uploaded or consumed by Meta from a scheduled HTTPS URL (batch). Ideal for inventories with lower dynamism.
</t>
  </si>
  <si>
    <t>The complete feed file is generated and hosted on HTTPS (it may include basic user/password).
In Meta Catalog, the scheduled ingestion is configured (e.g., every 6/12/24 hours).
Meta downloads the file, validates syntax and fields, and replaces the inventory.</t>
  </si>
  <si>
    <t>META Catalog Integration via API</t>
  </si>
  <si>
    <t>It is a programmatic implementation using the Catalogs Batch API (/items_batch) to perform CRUD operations and support incremental, event‑driven ingestions for rapid stock and price updates.</t>
  </si>
  <si>
    <t xml:space="preserve">It is a server‑side service that orchestrates batched create/update/delete operations against the Graph/Catalogs Batch API, scheduling frequent runs (e.g., every 15 minutes for volatile fields) or triggering event‑driven executions from the ERP/e‑commerce. It manages states, queues, and retries, and provides monitoring of upload history and errors.
</t>
  </si>
  <si>
    <t>META Catalog Integration with Native Platforms</t>
  </si>
  <si>
    <t xml:space="preserve">It uses official apps and plugins (e.g., Shopify, VTEX, Tiendanube) that synchronize the product catalog with Meta and often include a pre‑integrated Conversions API (CAPI).
</t>
  </si>
  <si>
    <t>It is an application that continuously synchronizes products, manages variants and images, and performs catalog creation and updates.</t>
  </si>
  <si>
    <t>META CAPI GATEWAY: Implementation in the Client's Own Environment</t>
  </si>
  <si>
    <t>It is a solution based on Google Cloud infrastructure to manage and send conversion events directly from the server to advertising platforms such as Meta (Facebook).
Instead of relying on the browser and cookies, CAPI Gateway allows sending server-to-server (S2S) data using GCP services.</t>
  </si>
  <si>
    <t xml:space="preserve">The quotation and project do not include the billing associated with the use of GCP. The approximate cost is 80 USD per month, which will be reflected in the client’s GCP billing.
</t>
  </si>
  <si>
    <t>Greater accuracy in conversion tracking
Reduced reliance on cookies
Enhanced security and control over data
Better performance in advertising campaigns
Scalability and flexibility</t>
  </si>
  <si>
    <t>"Implementation in GCP on the client side
Implementation in Business Manager
Implementation in DNS
Validation of events arriving from CAPI via Gateway
Analysis of event quality (General events &gt; 4.4 &amp; Purchase events &gt; 5.5)"
Delivery of the implemented pipeline
Validation of offline event visualization in BM</t>
  </si>
  <si>
    <t>META CAPI GATEWAY: Implementation in the Client's Own Environment + Signals</t>
  </si>
  <si>
    <t>Consulting</t>
  </si>
  <si>
    <t>Consulting Ad Hoc</t>
  </si>
  <si>
    <t>Cloud</t>
  </si>
  <si>
    <t>Cloud Ad Hoc</t>
  </si>
  <si>
    <t>CRM</t>
  </si>
  <si>
    <t>CRM Ad Hoc</t>
  </si>
  <si>
    <t>CX</t>
  </si>
  <si>
    <t>Others Units</t>
  </si>
  <si>
    <t>CX Ad Hoc</t>
  </si>
  <si>
    <t>Predictive Modeling</t>
  </si>
  <si>
    <t xml:space="preserve">Product Recommendation Engine </t>
  </si>
  <si>
    <t>Google’s Product Recommendation Engine is a Machine Learning-based system that generates personalized product recommendations for users, optimizing conversion and enhancing the customer experience.</t>
  </si>
  <si>
    <t>The billing associated with the use of AI, BQML, and others via GCP is not included in the quotation and project. The cost depends on the number of calls made to the model and can vary between X and Y.
It does not include the creation of the GCP project.</t>
  </si>
  <si>
    <t>Greater personalization and better user experience
Increase in conversion and sales
Optimization of advertising and marketing costs
Automation and scalability with Google Cloud
Customer retention and increase in LTV (Lifetime Value)</t>
  </si>
  <si>
    <t>Functional infrastructure. It is a functional and scalable system that delivers real-time personalized recommendations for users on an e-commerce platform, app, or website.
Table within BigQuery containing the information.
User manual.
Knowledge transfer.</t>
  </si>
  <si>
    <t>LTV Prediction​​</t>
  </si>
  <si>
    <t>It is a machine learning model that predicts a customer’s future value over time. It is used to optimize marketing strategies, customer segmentation, retention strategies, and to maximize return on investment (ROI).</t>
  </si>
  <si>
    <t>They are not included in the quotation and project: the billing associated with the use of AI, BQML, among others via GCP. The cost depends on the number of calls made to the model; the cost may vary between X and Y.
It does not include the creation of the GCP project.</t>
  </si>
  <si>
    <t>Optimization of Marketing and Advertising Strategies
Increase in Return on Investment (ROI)
Personalization and Improvement of Customer Experience
Reduction of Churn and Increase in Retention</t>
  </si>
  <si>
    <t>It is a functional and scalable system that delivers predictions for 30, 60, or 90 days of how much a customer will spend.
Table within BigQuery with the information.
User manual.
Knowledge transfer.</t>
  </si>
  <si>
    <t>Churn Prediction​​</t>
  </si>
  <si>
    <t>Designed to predict which customers have a high probability of leaving a service, canceling a subscription, or stopping purchases within a given period (30, 60, 90 days, etc.).</t>
  </si>
  <si>
    <t>They are not included in the quotation and project: the billing associated with the use of AI, BQML, among others via GCP. The cost depends on the number of executions and updates made to the model; the cost may vary between X and Y.
It does not include the creation of the GCP project.</t>
  </si>
  <si>
    <t>Reduction of Customer Loss (Churn Rate)
Marketing Budget Optimization
Improvement of Customer Experience
Greater Accuracy with AI and Big Data</t>
  </si>
  <si>
    <t>It is a functional system; the model assigns a churn probability to each user.
Table within BigQuery containing the information.
Optional: Connection to Google Ads or DV360
User manual.
Knowledge transfer.</t>
  </si>
  <si>
    <t>Purchase Prediction​​</t>
  </si>
  <si>
    <t>Machine Learning-based solution that predicts the probability of a user making a purchase in the future. This helps optimize marketing strategies, segmentation, and campaign personalization in Google Ads, DV360, and Google Cloud.</t>
  </si>
  <si>
    <t>Increase in Conversions and Sales
Marketing Budget Optimization
Advanced Segmentation with Google Ads and DV360
Personalization of Customer Experience</t>
  </si>
  <si>
    <t>Functional infrastructure.
Table within BigQuery containing the information.
Optional: Connection to Google Ads or DV360
User manual.
Knowledge transfer.</t>
  </si>
  <si>
    <t>Advanced Segmentation Cluster</t>
  </si>
  <si>
    <t>Advanced segmentation technique based on Machine Learning (ML) that allows grouping users into clusters according to their behavior and interests. This model is implemented without the need for Google CRMInt.</t>
  </si>
  <si>
    <t xml:space="preserve">Greater Accuracy in Segmentation
Optimization of Advertising Spend
Independence from CRM and More Flexibility
Automation and Scalability with Machine Learning
</t>
  </si>
  <si>
    <t>Functional infrastructure.
Table within BigQuery containing the information.
Optional: Connection to Google Ads
User manual.
Knowledge transfer.</t>
  </si>
  <si>
    <t>Advanced Segmentation Cluster ​with CRMint ​</t>
  </si>
  <si>
    <t>It is an advanced segmentation model that combines the client’s CRM data with Google Cloud, Google Ads, and DV360 to create highly accurate audiences.
Unlike the version without CRMInt, this approach allows enriching user segments with first-party CRM data, which improves the personalization of advertising campaigns.</t>
  </si>
  <si>
    <t xml:space="preserve">
Precise Segmentation and Advanced Personalization
Increase in ROAS and Reduction of CPA
Automation and Real-Time Updates
Unification of Online and Offline Data</t>
  </si>
  <si>
    <t>Functional infrastructure.
Table within BigQuery containing the information.
Optional: Connection to Google Ads, Search Ads, and Dashboard
User manual.
Knowledge transfer.</t>
  </si>
  <si>
    <t>BI Services</t>
  </si>
  <si>
    <t>Research</t>
  </si>
  <si>
    <t>Research Ad Hoc</t>
  </si>
  <si>
    <t>ABCD Detector - Basic (20 Videos) per month</t>
  </si>
  <si>
    <t>The ABCD Detector is a tool that leverages Google's AI to evaluate video ads based on YouTube's ABCD framework.
This framework—Attention, Branding, Connection, and Direction—is essential for creating ads that capture attention, resonate with viewers, and drive action.
The ABCD Detector automates this process by analyzing various elements of video ads and generating detailed reports on their alignment with the ABCD principles.</t>
  </si>
  <si>
    <t>Provides a set of reports and recommendations based on the analysis of video ads on YouTube or Google Ads.
Optimization recommendations
Knowledge transfer to the client
User manual
Export and Integration with Tools (Google Ads or YouTube Ads)</t>
  </si>
  <si>
    <t>ABCD Detector - Basic (20 Videos) Annual Subscription</t>
  </si>
  <si>
    <t>ABCD Detector - Pro (100 Videos) per month</t>
  </si>
  <si>
    <t>ABCD Detector - Pro (100 Videos) Annual Subscription</t>
  </si>
  <si>
    <t>ABCD Detector - Enterprise (500 Videos) per month</t>
  </si>
  <si>
    <t>ABCD Detector - Enterprise (500 Videos) Annual Subscription</t>
  </si>
  <si>
    <t>CSA Tech - Platform Management &amp; Operation</t>
  </si>
  <si>
    <t>C-GenIA - Basic (200 images) per month</t>
  </si>
  <si>
    <t>C-GenIA - Basic (200 images) Annual Subscription</t>
  </si>
  <si>
    <t>C-GenIA - Intermediate (500 images) per month</t>
  </si>
  <si>
    <t>C-GenIA - Intermediate (500 images) Annual Subscription</t>
  </si>
  <si>
    <t>C-GenIA - Advanced (1000 images) per month</t>
  </si>
  <si>
    <t>C-GenIA - Advanced (1000 images) Annual Subscription</t>
  </si>
  <si>
    <t>Meridian Google Founds</t>
  </si>
  <si>
    <t>Creative Tech Ad Hoc</t>
  </si>
  <si>
    <t>SEO</t>
  </si>
  <si>
    <t>Business Inteligence</t>
  </si>
  <si>
    <t>Converged Report</t>
  </si>
  <si>
    <t>FTE</t>
  </si>
  <si>
    <t>People data fee Media</t>
  </si>
  <si>
    <t>Audiencias</t>
  </si>
  <si>
    <t>Licencias</t>
  </si>
  <si>
    <t>Licencias GA4 360</t>
  </si>
  <si>
    <t>Licencias SA/DV360</t>
  </si>
  <si>
    <t>FTE Cliente directo</t>
  </si>
  <si>
    <t>Chat2Flow</t>
  </si>
  <si>
    <t>Talent2Flow</t>
  </si>
  <si>
    <t>Cloud &amp;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</si>
</sst>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USD]\ #,##0"/>
    <numFmt numFmtId="165" formatCode="_([$€-2]\ * #,##0_);_([$€-2]\ * \(#,##0\);_([$€-2]\ * &quot;-&quot;??_);_(@_)"/>
  </numFmts>
  <fonts count="20" x14ac:knownFonts="1">
    <font>
      <sz val="11"/>
      <color theme="1"/>
      <name val="Calibri"/>
      <family val="2"/>
      <scheme val="minor"/>
    </font>
    <font>
      <b/>
      <sz val="9"/>
      <color theme="0"/>
      <name val="Century Gothic"/>
      <family val="2"/>
    </font>
    <font>
      <b/>
      <sz val="9"/>
      <name val="Century Gothic"/>
      <family val="2"/>
    </font>
    <font>
      <b/>
      <sz val="9"/>
      <color theme="0"/>
      <name val="Century Gothic"/>
      <family val="1"/>
    </font>
    <font>
      <sz val="11"/>
      <color theme="1"/>
      <name val="Calibri"/>
      <family val="2"/>
      <scheme val="minor"/>
    </font>
    <font>
      <sz val="9"/>
      <color theme="1"/>
      <name val="Century Gothic"/>
      <family val="2"/>
    </font>
    <font>
      <sz val="9"/>
      <color rgb="FF000000"/>
      <name val="Century Gothic"/>
      <family val="2"/>
    </font>
    <font>
      <sz val="10"/>
      <color theme="1"/>
      <name val="Century Gothic"/>
      <family val="1"/>
    </font>
    <font>
      <sz val="9"/>
      <color theme="1"/>
      <name val="Century Gothic"/>
      <family val="1"/>
    </font>
    <font>
      <b/>
      <sz val="9"/>
      <color rgb="FF000000"/>
      <name val="Century Gothic"/>
      <family val="2"/>
    </font>
    <font>
      <sz val="9"/>
      <color rgb="FF000000"/>
      <name val="Century Gothic"/>
      <family val="1"/>
    </font>
    <font>
      <u/>
      <sz val="11"/>
      <color theme="10"/>
      <name val="Calibri"/>
      <family val="2"/>
      <scheme val="minor"/>
    </font>
    <font>
      <u/>
      <sz val="9"/>
      <color theme="10"/>
      <name val="Calibri"/>
      <family val="2"/>
      <scheme val="minor"/>
    </font>
    <font>
      <sz val="9"/>
      <color theme="2" tint="-0.499984740745262"/>
      <name val="Century Gothic"/>
      <family val="2"/>
    </font>
    <font>
      <sz val="9"/>
      <color theme="2" tint="-0.499984740745262"/>
      <name val="Century Gothic"/>
      <family val="1"/>
    </font>
    <font>
      <sz val="9"/>
      <color theme="1" tint="0.34998626667073579"/>
      <name val="Century Gothic"/>
      <family val="2"/>
    </font>
    <font>
      <sz val="10"/>
      <color theme="1" tint="0.34998626667073579"/>
      <name val="Century Gothic"/>
      <family val="1"/>
    </font>
    <font>
      <sz val="9"/>
      <color theme="1" tint="0.34998626667073579"/>
      <name val="Century Gothic"/>
      <family val="1"/>
    </font>
    <font>
      <sz val="9"/>
      <color rgb="FFFF0000"/>
      <name val="Century Gothic"/>
      <family val="2"/>
    </font>
    <font>
      <sz val="9"/>
      <color rgb="FF000000"/>
      <name val="Century Gothic"/>
    </font>
  </fonts>
  <fills count="17">
    <fill>
      <patternFill patternType="none"/>
    </fill>
    <fill>
      <patternFill patternType="gray125"/>
    </fill>
    <fill>
      <patternFill patternType="solid">
        <fgColor theme="2" tint="-0.499984740745262"/>
        <bgColor indexed="64"/>
      </patternFill>
    </fill>
    <fill>
      <patternFill patternType="solid">
        <fgColor theme="6" tint="0.79998168889431442"/>
        <bgColor indexed="64"/>
      </patternFill>
    </fill>
    <fill>
      <patternFill patternType="solid">
        <fgColor rgb="FFFF0000"/>
        <bgColor indexed="64"/>
      </patternFill>
    </fill>
    <fill>
      <patternFill patternType="solid">
        <fgColor theme="2" tint="-0.749992370372631"/>
        <bgColor indexed="64"/>
      </patternFill>
    </fill>
    <fill>
      <patternFill patternType="solid">
        <fgColor theme="9" tint="-0.499984740745262"/>
        <bgColor indexed="64"/>
      </patternFill>
    </fill>
    <fill>
      <patternFill patternType="solid">
        <fgColor rgb="FF004F88"/>
        <bgColor indexed="64"/>
      </patternFill>
    </fill>
    <fill>
      <patternFill patternType="solid">
        <fgColor rgb="FF7030A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rgb="FFFFFF00"/>
        <bgColor indexed="64"/>
      </patternFill>
    </fill>
  </fills>
  <borders count="21">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000000"/>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medium">
        <color rgb="FF000000"/>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s>
  <cellStyleXfs count="3">
    <xf numFmtId="0" fontId="0" fillId="0" borderId="0"/>
    <xf numFmtId="0" fontId="4" fillId="0" borderId="0"/>
    <xf numFmtId="0" fontId="11" fillId="0" borderId="0" applyNumberFormat="0" applyFill="0" applyBorder="0" applyAlignment="0" applyProtection="0"/>
  </cellStyleXfs>
  <cellXfs count="121">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center" vertical="center" wrapText="1"/>
    </xf>
    <xf numFmtId="0" fontId="1" fillId="4" borderId="0" xfId="0" applyFont="1" applyFill="1" applyAlignment="1">
      <alignment horizontal="center" vertical="center" wrapText="1"/>
    </xf>
    <xf numFmtId="0" fontId="3" fillId="4" borderId="0" xfId="0" applyFont="1" applyFill="1" applyAlignment="1">
      <alignment horizontal="center" vertical="center" wrapText="1"/>
    </xf>
    <xf numFmtId="0" fontId="1" fillId="2"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1"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5" fillId="0" borderId="0" xfId="1" applyFont="1" applyAlignment="1">
      <alignment vertical="center" wrapText="1"/>
    </xf>
    <xf numFmtId="0" fontId="6" fillId="0" borderId="3" xfId="1" applyFont="1" applyBorder="1" applyAlignment="1">
      <alignment horizontal="center" vertical="center"/>
    </xf>
    <xf numFmtId="0" fontId="7" fillId="0" borderId="3" xfId="1" applyFont="1" applyBorder="1" applyAlignment="1">
      <alignment horizontal="center" vertical="center"/>
    </xf>
    <xf numFmtId="0" fontId="6" fillId="0" borderId="3" xfId="1" applyFont="1" applyBorder="1" applyAlignment="1">
      <alignment horizontal="left" vertical="center" wrapText="1"/>
    </xf>
    <xf numFmtId="0" fontId="6" fillId="0" borderId="4" xfId="1" applyFont="1" applyBorder="1" applyAlignment="1">
      <alignment vertical="center" wrapText="1"/>
    </xf>
    <xf numFmtId="0" fontId="8" fillId="0" borderId="5" xfId="1" applyFont="1" applyBorder="1" applyAlignment="1">
      <alignment horizontal="center" vertical="center" wrapText="1"/>
    </xf>
    <xf numFmtId="164" fontId="6" fillId="9" borderId="4" xfId="1" applyNumberFormat="1" applyFont="1" applyFill="1" applyBorder="1" applyAlignment="1">
      <alignment horizontal="center" vertical="center"/>
    </xf>
    <xf numFmtId="164" fontId="6" fillId="10" borderId="4" xfId="1" applyNumberFormat="1" applyFont="1" applyFill="1" applyBorder="1" applyAlignment="1">
      <alignment horizontal="center" vertical="center"/>
    </xf>
    <xf numFmtId="164" fontId="6" fillId="11" borderId="5" xfId="1" applyNumberFormat="1" applyFont="1" applyFill="1" applyBorder="1" applyAlignment="1">
      <alignment horizontal="center" vertical="center"/>
    </xf>
    <xf numFmtId="165" fontId="6" fillId="9" borderId="6" xfId="1" applyNumberFormat="1" applyFont="1" applyFill="1" applyBorder="1" applyAlignment="1">
      <alignment horizontal="center" vertical="center"/>
    </xf>
    <xf numFmtId="165" fontId="6" fillId="10" borderId="7" xfId="1" applyNumberFormat="1" applyFont="1" applyFill="1" applyBorder="1" applyAlignment="1">
      <alignment horizontal="center" vertical="center"/>
    </xf>
    <xf numFmtId="165" fontId="6" fillId="9" borderId="7" xfId="1" applyNumberFormat="1" applyFont="1" applyFill="1" applyBorder="1" applyAlignment="1">
      <alignment horizontal="center" vertical="center"/>
    </xf>
    <xf numFmtId="165" fontId="6" fillId="11" borderId="8" xfId="1" applyNumberFormat="1" applyFont="1" applyFill="1" applyBorder="1" applyAlignment="1">
      <alignment horizontal="center" vertical="center"/>
    </xf>
    <xf numFmtId="0" fontId="6" fillId="0" borderId="9" xfId="1" applyFont="1" applyBorder="1" applyAlignment="1">
      <alignment vertical="center" wrapText="1"/>
    </xf>
    <xf numFmtId="0" fontId="6" fillId="0" borderId="5" xfId="1" applyFont="1" applyBorder="1" applyAlignment="1">
      <alignment horizontal="center" vertical="center" wrapText="1"/>
    </xf>
    <xf numFmtId="0" fontId="6" fillId="0" borderId="10" xfId="1" applyFont="1" applyBorder="1" applyAlignment="1">
      <alignment horizontal="left" vertical="center"/>
    </xf>
    <xf numFmtId="0" fontId="6" fillId="0" borderId="3" xfId="1" applyFont="1" applyBorder="1" applyAlignment="1">
      <alignment horizontal="left" vertical="center"/>
    </xf>
    <xf numFmtId="0" fontId="6" fillId="0" borderId="3" xfId="1" applyFont="1" applyBorder="1" applyAlignment="1">
      <alignment vertical="center" wrapText="1"/>
    </xf>
    <xf numFmtId="0" fontId="8" fillId="0" borderId="11" xfId="1" applyFont="1" applyBorder="1" applyAlignment="1">
      <alignment horizontal="center" vertical="center" wrapText="1"/>
    </xf>
    <xf numFmtId="164" fontId="6" fillId="9" borderId="3" xfId="1" applyNumberFormat="1" applyFont="1" applyFill="1" applyBorder="1" applyAlignment="1">
      <alignment horizontal="center" vertical="center"/>
    </xf>
    <xf numFmtId="164" fontId="6" fillId="10" borderId="3" xfId="1" applyNumberFormat="1" applyFont="1" applyFill="1" applyBorder="1" applyAlignment="1">
      <alignment horizontal="center" vertical="center"/>
    </xf>
    <xf numFmtId="165" fontId="6" fillId="9" borderId="12" xfId="1" applyNumberFormat="1" applyFont="1" applyFill="1" applyBorder="1" applyAlignment="1">
      <alignment horizontal="center" vertical="center"/>
    </xf>
    <xf numFmtId="165" fontId="6" fillId="10" borderId="4" xfId="1" applyNumberFormat="1" applyFont="1" applyFill="1" applyBorder="1" applyAlignment="1">
      <alignment horizontal="center" vertical="center"/>
    </xf>
    <xf numFmtId="165" fontId="6" fillId="9" borderId="4" xfId="1" applyNumberFormat="1" applyFont="1" applyFill="1" applyBorder="1" applyAlignment="1">
      <alignment horizontal="center" vertical="center"/>
    </xf>
    <xf numFmtId="165" fontId="6" fillId="11" borderId="5" xfId="1" applyNumberFormat="1" applyFont="1" applyFill="1" applyBorder="1" applyAlignment="1">
      <alignment horizontal="center" vertical="center"/>
    </xf>
    <xf numFmtId="0" fontId="6" fillId="0" borderId="13" xfId="1" applyFont="1" applyBorder="1" applyAlignment="1">
      <alignment vertical="center" wrapText="1"/>
    </xf>
    <xf numFmtId="0" fontId="6" fillId="0" borderId="11" xfId="1" applyFont="1" applyBorder="1" applyAlignment="1">
      <alignment horizontal="center" vertical="center" wrapText="1"/>
    </xf>
    <xf numFmtId="0" fontId="6" fillId="0" borderId="10" xfId="1" applyFont="1" applyBorder="1" applyAlignment="1">
      <alignment horizontal="left" vertical="center" wrapText="1"/>
    </xf>
    <xf numFmtId="0" fontId="6" fillId="0" borderId="3" xfId="1" applyFont="1" applyBorder="1" applyAlignment="1">
      <alignment vertical="center"/>
    </xf>
    <xf numFmtId="0" fontId="6" fillId="0" borderId="10" xfId="1" applyFont="1" applyBorder="1" applyAlignment="1">
      <alignment vertical="center"/>
    </xf>
    <xf numFmtId="0" fontId="8" fillId="0" borderId="11" xfId="1" applyFont="1" applyBorder="1" applyAlignment="1">
      <alignment horizontal="center" vertical="center"/>
    </xf>
    <xf numFmtId="0" fontId="6" fillId="0" borderId="10" xfId="1" applyFont="1" applyBorder="1" applyAlignment="1">
      <alignment vertical="center" wrapText="1"/>
    </xf>
    <xf numFmtId="0" fontId="6" fillId="0" borderId="13" xfId="1" applyFont="1" applyBorder="1" applyAlignment="1">
      <alignment horizontal="left" vertical="center" wrapText="1"/>
    </xf>
    <xf numFmtId="0" fontId="6" fillId="0" borderId="0" xfId="1" applyFont="1" applyAlignment="1">
      <alignment horizontal="left" vertical="center"/>
    </xf>
    <xf numFmtId="0" fontId="6" fillId="0" borderId="0" xfId="1" applyFont="1" applyAlignment="1">
      <alignment vertical="center"/>
    </xf>
    <xf numFmtId="0" fontId="6" fillId="0" borderId="0" xfId="1" applyFont="1"/>
    <xf numFmtId="0" fontId="6" fillId="0" borderId="10" xfId="1" applyFont="1" applyBorder="1"/>
    <xf numFmtId="0" fontId="6" fillId="0" borderId="11" xfId="1" applyFont="1" applyBorder="1" applyAlignment="1">
      <alignment horizontal="center" vertical="center"/>
    </xf>
    <xf numFmtId="0" fontId="10" fillId="0" borderId="11" xfId="1" applyFont="1" applyBorder="1" applyAlignment="1">
      <alignment horizontal="center" vertical="center" wrapText="1"/>
    </xf>
    <xf numFmtId="0" fontId="12" fillId="0" borderId="11" xfId="2" applyFont="1" applyBorder="1" applyAlignment="1">
      <alignment horizontal="center" vertical="center"/>
    </xf>
    <xf numFmtId="0" fontId="10" fillId="0" borderId="10" xfId="1" applyFont="1" applyBorder="1"/>
    <xf numFmtId="0" fontId="10" fillId="0" borderId="3" xfId="1" applyFont="1" applyBorder="1" applyAlignment="1">
      <alignment vertical="center"/>
    </xf>
    <xf numFmtId="0" fontId="10" fillId="0" borderId="13" xfId="1" applyFont="1" applyBorder="1" applyAlignment="1">
      <alignment horizontal="left" vertical="center" wrapText="1"/>
    </xf>
    <xf numFmtId="0" fontId="10" fillId="0" borderId="3" xfId="1" applyFont="1" applyBorder="1" applyAlignment="1">
      <alignment horizontal="left" vertical="center" wrapText="1"/>
    </xf>
    <xf numFmtId="0" fontId="6" fillId="0" borderId="15" xfId="1" applyFont="1" applyBorder="1"/>
    <xf numFmtId="0" fontId="6" fillId="0" borderId="16" xfId="1" applyFont="1" applyBorder="1"/>
    <xf numFmtId="0" fontId="6" fillId="0" borderId="17" xfId="1" applyFont="1" applyBorder="1"/>
    <xf numFmtId="0" fontId="13" fillId="10" borderId="3" xfId="1" applyFont="1" applyFill="1" applyBorder="1" applyAlignment="1">
      <alignment horizontal="center" vertical="center"/>
    </xf>
    <xf numFmtId="0" fontId="13" fillId="10" borderId="3" xfId="1" applyFont="1" applyFill="1" applyBorder="1" applyAlignment="1">
      <alignment vertical="center"/>
    </xf>
    <xf numFmtId="0" fontId="13" fillId="10" borderId="3" xfId="1" applyFont="1" applyFill="1" applyBorder="1" applyAlignment="1">
      <alignment horizontal="left" vertical="center"/>
    </xf>
    <xf numFmtId="0" fontId="14" fillId="10" borderId="3" xfId="1" applyFont="1" applyFill="1" applyBorder="1" applyAlignment="1">
      <alignment vertical="center"/>
    </xf>
    <xf numFmtId="0" fontId="13" fillId="10" borderId="13" xfId="1" applyFont="1" applyFill="1" applyBorder="1" applyAlignment="1">
      <alignment horizontal="left" vertical="center" wrapText="1"/>
    </xf>
    <xf numFmtId="0" fontId="13" fillId="10" borderId="3" xfId="1" applyFont="1" applyFill="1" applyBorder="1" applyAlignment="1">
      <alignment horizontal="left" vertical="center" wrapText="1"/>
    </xf>
    <xf numFmtId="0" fontId="13" fillId="10" borderId="11" xfId="1" applyFont="1" applyFill="1" applyBorder="1" applyAlignment="1">
      <alignment horizontal="center" vertical="center" wrapText="1"/>
    </xf>
    <xf numFmtId="0" fontId="13" fillId="10" borderId="10" xfId="1" applyFont="1" applyFill="1" applyBorder="1"/>
    <xf numFmtId="0" fontId="13" fillId="10" borderId="3" xfId="1" applyFont="1" applyFill="1" applyBorder="1" applyAlignment="1">
      <alignment vertical="center" wrapText="1"/>
    </xf>
    <xf numFmtId="0" fontId="15" fillId="13" borderId="3" xfId="1" applyFont="1" applyFill="1" applyBorder="1" applyAlignment="1">
      <alignment horizontal="center" vertical="center"/>
    </xf>
    <xf numFmtId="0" fontId="16" fillId="13" borderId="3" xfId="1" applyFont="1" applyFill="1" applyBorder="1" applyAlignment="1">
      <alignment horizontal="center" vertical="center"/>
    </xf>
    <xf numFmtId="0" fontId="15" fillId="13" borderId="3" xfId="1" applyFont="1" applyFill="1" applyBorder="1" applyAlignment="1">
      <alignment vertical="center"/>
    </xf>
    <xf numFmtId="0" fontId="15" fillId="13" borderId="3" xfId="1" applyFont="1" applyFill="1" applyBorder="1" applyAlignment="1">
      <alignment horizontal="left" vertical="center"/>
    </xf>
    <xf numFmtId="0" fontId="15" fillId="0" borderId="3" xfId="1" applyFont="1" applyBorder="1" applyAlignment="1">
      <alignment vertical="center" wrapText="1"/>
    </xf>
    <xf numFmtId="0" fontId="17" fillId="0" borderId="11" xfId="1" applyFont="1" applyBorder="1" applyAlignment="1">
      <alignment horizontal="center" vertical="center"/>
    </xf>
    <xf numFmtId="164" fontId="15" fillId="9" borderId="3" xfId="1" applyNumberFormat="1" applyFont="1" applyFill="1" applyBorder="1" applyAlignment="1">
      <alignment horizontal="center" vertical="center"/>
    </xf>
    <xf numFmtId="164" fontId="15" fillId="10" borderId="3" xfId="1" applyNumberFormat="1" applyFont="1" applyFill="1" applyBorder="1" applyAlignment="1">
      <alignment horizontal="center" vertical="center"/>
    </xf>
    <xf numFmtId="164" fontId="15" fillId="9" borderId="4" xfId="1" applyNumberFormat="1" applyFont="1" applyFill="1" applyBorder="1" applyAlignment="1">
      <alignment horizontal="center" vertical="center"/>
    </xf>
    <xf numFmtId="164" fontId="15" fillId="11" borderId="5" xfId="1" applyNumberFormat="1" applyFont="1" applyFill="1" applyBorder="1" applyAlignment="1">
      <alignment horizontal="center" vertical="center"/>
    </xf>
    <xf numFmtId="165" fontId="15" fillId="9" borderId="12" xfId="1" applyNumberFormat="1" applyFont="1" applyFill="1" applyBorder="1" applyAlignment="1">
      <alignment horizontal="center" vertical="center"/>
    </xf>
    <xf numFmtId="165" fontId="15" fillId="10" borderId="4" xfId="1" applyNumberFormat="1" applyFont="1" applyFill="1" applyBorder="1" applyAlignment="1">
      <alignment horizontal="center" vertical="center"/>
    </xf>
    <xf numFmtId="165" fontId="15" fillId="9" borderId="4" xfId="1" applyNumberFormat="1" applyFont="1" applyFill="1" applyBorder="1" applyAlignment="1">
      <alignment horizontal="center" vertical="center"/>
    </xf>
    <xf numFmtId="165" fontId="15" fillId="11" borderId="5" xfId="1" applyNumberFormat="1" applyFont="1" applyFill="1" applyBorder="1" applyAlignment="1">
      <alignment horizontal="center" vertical="center"/>
    </xf>
    <xf numFmtId="0" fontId="15" fillId="13" borderId="13" xfId="1" applyFont="1" applyFill="1" applyBorder="1" applyAlignment="1">
      <alignment horizontal="left" vertical="center" wrapText="1"/>
    </xf>
    <xf numFmtId="0" fontId="15" fillId="13" borderId="3" xfId="1" applyFont="1" applyFill="1" applyBorder="1" applyAlignment="1">
      <alignment horizontal="left" vertical="center" wrapText="1"/>
    </xf>
    <xf numFmtId="0" fontId="15" fillId="0" borderId="0" xfId="1" applyFont="1"/>
    <xf numFmtId="0" fontId="15" fillId="13" borderId="11" xfId="1" applyFont="1" applyFill="1" applyBorder="1" applyAlignment="1">
      <alignment horizontal="center" vertical="center" wrapText="1"/>
    </xf>
    <xf numFmtId="0" fontId="15" fillId="13" borderId="10" xfId="1" applyFont="1" applyFill="1" applyBorder="1"/>
    <xf numFmtId="0" fontId="17" fillId="13" borderId="10" xfId="1" applyFont="1" applyFill="1" applyBorder="1"/>
    <xf numFmtId="0" fontId="17" fillId="13" borderId="15" xfId="1" applyFont="1" applyFill="1" applyBorder="1"/>
    <xf numFmtId="0" fontId="10" fillId="0" borderId="17" xfId="1" applyFont="1" applyBorder="1"/>
    <xf numFmtId="0" fontId="6" fillId="4" borderId="13" xfId="1" applyFont="1" applyFill="1" applyBorder="1" applyAlignment="1">
      <alignment horizontal="left" vertical="center" wrapText="1"/>
    </xf>
    <xf numFmtId="0" fontId="18" fillId="0" borderId="13" xfId="1" applyFont="1" applyBorder="1" applyAlignment="1">
      <alignment horizontal="left" vertical="center" wrapText="1"/>
    </xf>
    <xf numFmtId="0" fontId="10" fillId="0" borderId="15" xfId="1" applyFont="1" applyBorder="1"/>
    <xf numFmtId="0" fontId="6" fillId="14" borderId="11" xfId="1" applyFont="1" applyFill="1" applyBorder="1" applyAlignment="1">
      <alignment horizontal="center" vertical="center" wrapText="1"/>
    </xf>
    <xf numFmtId="0" fontId="6" fillId="14" borderId="16" xfId="1" applyFont="1" applyFill="1" applyBorder="1"/>
    <xf numFmtId="0" fontId="6" fillId="0" borderId="17" xfId="1" applyFont="1" applyBorder="1" applyAlignment="1">
      <alignment horizontal="left" vertical="center"/>
    </xf>
    <xf numFmtId="0" fontId="6" fillId="0" borderId="9" xfId="1" applyFont="1" applyBorder="1" applyAlignment="1">
      <alignment horizontal="left" vertical="center" wrapText="1"/>
    </xf>
    <xf numFmtId="0" fontId="6" fillId="0" borderId="4" xfId="1" applyFont="1" applyBorder="1" applyAlignment="1">
      <alignment horizontal="left" vertical="center" wrapText="1"/>
    </xf>
    <xf numFmtId="0" fontId="8" fillId="15" borderId="11" xfId="1" applyFont="1" applyFill="1" applyBorder="1" applyAlignment="1">
      <alignment horizontal="center" vertical="center"/>
    </xf>
    <xf numFmtId="0" fontId="8" fillId="15" borderId="3" xfId="1" applyFont="1" applyFill="1" applyBorder="1" applyAlignment="1">
      <alignment horizontal="center" vertical="center"/>
    </xf>
    <xf numFmtId="0" fontId="8" fillId="16" borderId="0" xfId="1" applyFont="1" applyFill="1" applyAlignment="1">
      <alignment horizontal="center" vertical="center"/>
    </xf>
    <xf numFmtId="165" fontId="6" fillId="9" borderId="18" xfId="1" applyNumberFormat="1" applyFont="1" applyFill="1" applyBorder="1" applyAlignment="1">
      <alignment horizontal="center" vertical="center"/>
    </xf>
    <xf numFmtId="165" fontId="6" fillId="10" borderId="19" xfId="1" applyNumberFormat="1" applyFont="1" applyFill="1" applyBorder="1" applyAlignment="1">
      <alignment horizontal="center" vertical="center"/>
    </xf>
    <xf numFmtId="165" fontId="6" fillId="9" borderId="19" xfId="1" applyNumberFormat="1" applyFont="1" applyFill="1" applyBorder="1" applyAlignment="1">
      <alignment horizontal="center" vertical="center"/>
    </xf>
    <xf numFmtId="165" fontId="6" fillId="11" borderId="20" xfId="1" applyNumberFormat="1" applyFont="1" applyFill="1" applyBorder="1" applyAlignment="1">
      <alignment horizontal="center" vertical="center"/>
    </xf>
    <xf numFmtId="0" fontId="8" fillId="0" borderId="3" xfId="1" applyFont="1" applyBorder="1" applyAlignment="1">
      <alignment horizontal="center" vertical="center"/>
    </xf>
    <xf numFmtId="0" fontId="6" fillId="0" borderId="3" xfId="0" applyFont="1" applyBorder="1" applyAlignment="1">
      <alignment wrapText="1"/>
    </xf>
    <xf numFmtId="0" fontId="19" fillId="0" borderId="10" xfId="1" applyFont="1" applyBorder="1" applyAlignment="1">
      <alignment horizontal="left" vertical="center"/>
    </xf>
    <xf numFmtId="0" fontId="5" fillId="0" borderId="0" xfId="1" applyFont="1"/>
    <xf numFmtId="0" fontId="5" fillId="0" borderId="0" xfId="1" applyFont="1" applyAlignment="1">
      <alignment horizontal="center"/>
    </xf>
    <xf numFmtId="0" fontId="8" fillId="16" borderId="3" xfId="1" applyFont="1" applyFill="1" applyBorder="1" applyAlignment="1">
      <alignment horizontal="center" vertical="center"/>
    </xf>
    <xf numFmtId="0" fontId="19" fillId="0" borderId="3" xfId="1" applyFont="1" applyBorder="1" applyAlignment="1">
      <alignment vertical="center"/>
    </xf>
    <xf numFmtId="0" fontId="19" fillId="0" borderId="3" xfId="1" applyFont="1" applyBorder="1" applyAlignment="1">
      <alignment horizontal="left" vertical="center" wrapText="1"/>
    </xf>
    <xf numFmtId="165" fontId="19" fillId="9" borderId="18" xfId="1" applyNumberFormat="1" applyFont="1" applyFill="1" applyBorder="1" applyAlignment="1">
      <alignment horizontal="center" vertical="center"/>
    </xf>
    <xf numFmtId="165" fontId="19" fillId="10" borderId="19" xfId="1" applyNumberFormat="1" applyFont="1" applyFill="1" applyBorder="1" applyAlignment="1">
      <alignment horizontal="center" vertical="center"/>
    </xf>
    <xf numFmtId="165" fontId="19" fillId="9" borderId="19" xfId="1" applyNumberFormat="1" applyFont="1" applyFill="1" applyBorder="1" applyAlignment="1">
      <alignment horizontal="center" vertical="center"/>
    </xf>
    <xf numFmtId="165" fontId="19" fillId="11" borderId="20" xfId="1" applyNumberFormat="1" applyFont="1" applyFill="1" applyBorder="1" applyAlignment="1">
      <alignment horizontal="center" vertical="center"/>
    </xf>
    <xf numFmtId="0" fontId="19" fillId="0" borderId="15" xfId="1" applyFont="1" applyBorder="1"/>
    <xf numFmtId="0" fontId="9" fillId="12" borderId="4" xfId="1" applyFont="1" applyFill="1" applyBorder="1" applyAlignment="1">
      <alignment horizontal="center" vertical="center" textRotation="255" wrapText="1"/>
    </xf>
    <xf numFmtId="0" fontId="9" fillId="12" borderId="7" xfId="1" applyFont="1" applyFill="1" applyBorder="1" applyAlignment="1">
      <alignment horizontal="center" vertical="center" textRotation="255" wrapText="1"/>
    </xf>
    <xf numFmtId="0" fontId="9" fillId="12" borderId="14" xfId="1" applyFont="1" applyFill="1" applyBorder="1" applyAlignment="1">
      <alignment horizontal="center" vertical="center" textRotation="255" wrapText="1"/>
    </xf>
  </cellXfs>
  <cellStyles count="3">
    <cellStyle name="Hipervínculo" xfId="2" builtinId="8"/>
    <cellStyle name="Normal" xfId="0" builtinId="0"/>
    <cellStyle name="Normal 2" xfId="1" xr:uid="{1D427A08-E78F-4855-808E-58025D4B469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b:/s/IntComercial/EfV6o8f1ppRJqCPyS16YU9gBFukkC8OPpy2_5kSn2YygWw?e=VqsNV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37"/>
  <sheetViews>
    <sheetView tabSelected="1" topLeftCell="A106" workbookViewId="0">
      <selection activeCell="B120" sqref="B120"/>
    </sheetView>
  </sheetViews>
  <sheetFormatPr baseColWidth="10" defaultColWidth="8.7265625" defaultRowHeight="14.5" x14ac:dyDescent="0.35"/>
  <cols>
    <col min="1" max="1" width="4.1796875" bestFit="1" customWidth="1"/>
    <col min="2" max="2" width="26.26953125" customWidth="1"/>
    <col min="3" max="3" width="40.453125" customWidth="1"/>
    <col min="4" max="4" width="15.26953125" customWidth="1"/>
    <col min="5" max="5" width="15.81640625" customWidth="1"/>
    <col min="6" max="6" width="24.453125" customWidth="1"/>
    <col min="7" max="7" width="55.453125" customWidth="1"/>
    <col min="17" max="24" width="78" customWidth="1"/>
  </cols>
  <sheetData>
    <row r="1" spans="1:24" ht="57.5" x14ac:dyDescent="0.35">
      <c r="A1" s="1" t="s">
        <v>0</v>
      </c>
      <c r="B1" s="1" t="s">
        <v>1</v>
      </c>
      <c r="C1" s="1" t="s">
        <v>2</v>
      </c>
      <c r="D1" s="2" t="s">
        <v>3</v>
      </c>
      <c r="E1" s="3" t="s">
        <v>4</v>
      </c>
      <c r="F1" s="3" t="s">
        <v>5</v>
      </c>
      <c r="G1" s="4" t="s">
        <v>6</v>
      </c>
      <c r="H1" s="5" t="s">
        <v>7</v>
      </c>
      <c r="I1" s="6" t="s">
        <v>8</v>
      </c>
      <c r="J1" s="7" t="s">
        <v>9</v>
      </c>
      <c r="K1" s="8" t="s">
        <v>10</v>
      </c>
      <c r="L1" s="9" t="s">
        <v>11</v>
      </c>
      <c r="M1" s="10" t="s">
        <v>12</v>
      </c>
      <c r="N1" s="11" t="s">
        <v>13</v>
      </c>
      <c r="O1" s="11" t="s">
        <v>14</v>
      </c>
      <c r="P1" s="11" t="s">
        <v>15</v>
      </c>
      <c r="Q1" s="4" t="s">
        <v>16</v>
      </c>
      <c r="R1" s="4" t="s">
        <v>17</v>
      </c>
      <c r="S1" s="4" t="s">
        <v>18</v>
      </c>
      <c r="T1" s="4" t="s">
        <v>19</v>
      </c>
      <c r="U1" s="12"/>
      <c r="V1" s="4" t="s">
        <v>20</v>
      </c>
      <c r="W1" s="4" t="s">
        <v>21</v>
      </c>
      <c r="X1" s="4" t="s">
        <v>22</v>
      </c>
    </row>
    <row r="2" spans="1:24" ht="80.5" x14ac:dyDescent="0.35">
      <c r="A2" s="13">
        <v>1</v>
      </c>
      <c r="B2" s="14" t="s">
        <v>23</v>
      </c>
      <c r="C2" s="13" t="s">
        <v>24</v>
      </c>
      <c r="D2" s="15" t="s">
        <v>25</v>
      </c>
      <c r="E2" s="15" t="s">
        <v>26</v>
      </c>
      <c r="F2" s="15" t="s">
        <v>27</v>
      </c>
      <c r="G2" s="16" t="s">
        <v>28</v>
      </c>
      <c r="H2" s="17">
        <v>12</v>
      </c>
      <c r="I2" s="18">
        <v>19827.400000000001</v>
      </c>
      <c r="J2" s="19">
        <f t="shared" ref="J2:J12" si="0">I2*1.55/(1-0.15)</f>
        <v>36155.847058823536</v>
      </c>
      <c r="K2" s="18">
        <f t="shared" ref="K2:K12" si="1">+ROUNDUP((I2*1.55)/0.7,-2)</f>
        <v>44000</v>
      </c>
      <c r="L2" s="20"/>
      <c r="M2" s="21">
        <f>I2/1.1</f>
        <v>18024.909090909092</v>
      </c>
      <c r="N2" s="22">
        <f>J2/1.1</f>
        <v>32868.951871657759</v>
      </c>
      <c r="O2" s="23">
        <f>K2/1.1</f>
        <v>40000</v>
      </c>
      <c r="P2" s="24">
        <f>L2/1.1</f>
        <v>0</v>
      </c>
      <c r="Q2" s="25" t="s">
        <v>29</v>
      </c>
      <c r="R2" s="16" t="s">
        <v>30</v>
      </c>
      <c r="S2" s="16" t="s">
        <v>31</v>
      </c>
      <c r="T2" s="16" t="s">
        <v>32</v>
      </c>
      <c r="U2" s="118" t="s">
        <v>33</v>
      </c>
      <c r="V2" s="26">
        <v>12</v>
      </c>
      <c r="W2" s="27" t="s">
        <v>34</v>
      </c>
      <c r="X2" s="27" t="s">
        <v>35</v>
      </c>
    </row>
    <row r="3" spans="1:24" ht="80.5" x14ac:dyDescent="0.35">
      <c r="A3" s="13">
        <v>2</v>
      </c>
      <c r="B3" s="14" t="s">
        <v>23</v>
      </c>
      <c r="C3" s="28" t="s">
        <v>24</v>
      </c>
      <c r="D3" s="28" t="s">
        <v>25</v>
      </c>
      <c r="E3" s="15" t="s">
        <v>26</v>
      </c>
      <c r="F3" s="15" t="s">
        <v>36</v>
      </c>
      <c r="G3" s="29" t="s">
        <v>37</v>
      </c>
      <c r="H3" s="30">
        <v>1</v>
      </c>
      <c r="I3" s="31">
        <v>2690.875</v>
      </c>
      <c r="J3" s="32">
        <f t="shared" si="0"/>
        <v>4906.8897058823532</v>
      </c>
      <c r="K3" s="18">
        <f t="shared" si="1"/>
        <v>6000</v>
      </c>
      <c r="L3" s="20"/>
      <c r="M3" s="33">
        <f t="shared" ref="M3:P66" si="2">I3/1.1</f>
        <v>2446.25</v>
      </c>
      <c r="N3" s="34">
        <f t="shared" si="2"/>
        <v>4460.8088235294117</v>
      </c>
      <c r="O3" s="35">
        <f t="shared" si="2"/>
        <v>5454.545454545454</v>
      </c>
      <c r="P3" s="36">
        <f t="shared" si="2"/>
        <v>0</v>
      </c>
      <c r="Q3" s="37" t="s">
        <v>38</v>
      </c>
      <c r="R3" s="29" t="s">
        <v>39</v>
      </c>
      <c r="S3" s="29" t="s">
        <v>40</v>
      </c>
      <c r="T3" s="29" t="s">
        <v>41</v>
      </c>
      <c r="U3" s="119"/>
      <c r="V3" s="38">
        <v>1</v>
      </c>
      <c r="W3" s="27"/>
      <c r="X3" s="27" t="s">
        <v>35</v>
      </c>
    </row>
    <row r="4" spans="1:24" ht="80.5" x14ac:dyDescent="0.35">
      <c r="A4" s="13">
        <v>3</v>
      </c>
      <c r="B4" s="14" t="s">
        <v>23</v>
      </c>
      <c r="C4" s="28" t="s">
        <v>24</v>
      </c>
      <c r="D4" s="28" t="s">
        <v>25</v>
      </c>
      <c r="E4" s="15" t="s">
        <v>26</v>
      </c>
      <c r="F4" s="15" t="s">
        <v>36</v>
      </c>
      <c r="G4" s="29" t="s">
        <v>42</v>
      </c>
      <c r="H4" s="30">
        <v>1</v>
      </c>
      <c r="I4" s="31">
        <v>978.5</v>
      </c>
      <c r="J4" s="32">
        <f t="shared" si="0"/>
        <v>1784.3235294117646</v>
      </c>
      <c r="K4" s="18">
        <f t="shared" si="1"/>
        <v>2200</v>
      </c>
      <c r="L4" s="20"/>
      <c r="M4" s="33">
        <f t="shared" si="2"/>
        <v>889.5454545454545</v>
      </c>
      <c r="N4" s="34">
        <f t="shared" si="2"/>
        <v>1622.1122994652405</v>
      </c>
      <c r="O4" s="35">
        <f t="shared" si="2"/>
        <v>1999.9999999999998</v>
      </c>
      <c r="P4" s="36">
        <f t="shared" si="2"/>
        <v>0</v>
      </c>
      <c r="Q4" s="37" t="s">
        <v>38</v>
      </c>
      <c r="R4" s="29" t="s">
        <v>39</v>
      </c>
      <c r="S4" s="29" t="s">
        <v>40</v>
      </c>
      <c r="T4" s="29" t="s">
        <v>41</v>
      </c>
      <c r="U4" s="119"/>
      <c r="V4" s="38">
        <v>1</v>
      </c>
      <c r="W4" s="27"/>
      <c r="X4" s="27" t="s">
        <v>35</v>
      </c>
    </row>
    <row r="5" spans="1:24" ht="80.5" x14ac:dyDescent="0.35">
      <c r="A5" s="13">
        <v>4</v>
      </c>
      <c r="B5" s="14" t="s">
        <v>23</v>
      </c>
      <c r="C5" s="28" t="s">
        <v>24</v>
      </c>
      <c r="D5" s="28" t="s">
        <v>25</v>
      </c>
      <c r="E5" s="15" t="s">
        <v>26</v>
      </c>
      <c r="F5" s="15" t="s">
        <v>36</v>
      </c>
      <c r="G5" s="29" t="s">
        <v>43</v>
      </c>
      <c r="H5" s="30">
        <v>12</v>
      </c>
      <c r="I5" s="31">
        <v>13454.375</v>
      </c>
      <c r="J5" s="32">
        <f t="shared" si="0"/>
        <v>24534.448529411766</v>
      </c>
      <c r="K5" s="18">
        <f t="shared" si="1"/>
        <v>29800</v>
      </c>
      <c r="L5" s="20"/>
      <c r="M5" s="33">
        <f>I5/1.1</f>
        <v>12231.249999999998</v>
      </c>
      <c r="N5" s="34">
        <f t="shared" si="2"/>
        <v>22304.044117647059</v>
      </c>
      <c r="O5" s="35">
        <f t="shared" si="2"/>
        <v>27090.909090909088</v>
      </c>
      <c r="P5" s="36">
        <f t="shared" si="2"/>
        <v>0</v>
      </c>
      <c r="Q5" s="37" t="s">
        <v>38</v>
      </c>
      <c r="R5" s="29" t="s">
        <v>39</v>
      </c>
      <c r="S5" s="29" t="s">
        <v>40</v>
      </c>
      <c r="T5" s="29" t="s">
        <v>41</v>
      </c>
      <c r="U5" s="119"/>
      <c r="V5" s="38">
        <v>12</v>
      </c>
      <c r="W5" s="39" t="s">
        <v>44</v>
      </c>
      <c r="X5" s="27" t="s">
        <v>35</v>
      </c>
    </row>
    <row r="6" spans="1:24" ht="69" x14ac:dyDescent="0.35">
      <c r="A6" s="13">
        <v>5</v>
      </c>
      <c r="B6" s="14" t="s">
        <v>23</v>
      </c>
      <c r="C6" s="40" t="s">
        <v>24</v>
      </c>
      <c r="D6" s="40" t="s">
        <v>25</v>
      </c>
      <c r="E6" s="15" t="s">
        <v>26</v>
      </c>
      <c r="F6" s="15" t="s">
        <v>45</v>
      </c>
      <c r="G6" s="29" t="s">
        <v>46</v>
      </c>
      <c r="H6" s="30">
        <v>1</v>
      </c>
      <c r="I6" s="31">
        <v>458.78</v>
      </c>
      <c r="J6" s="32">
        <f t="shared" si="0"/>
        <v>836.59882352941167</v>
      </c>
      <c r="K6" s="18">
        <f t="shared" si="1"/>
        <v>1100</v>
      </c>
      <c r="L6" s="20"/>
      <c r="M6" s="33">
        <f t="shared" si="2"/>
        <v>417.07272727272721</v>
      </c>
      <c r="N6" s="34">
        <f t="shared" si="2"/>
        <v>760.54438502673781</v>
      </c>
      <c r="O6" s="35">
        <f t="shared" si="2"/>
        <v>999.99999999999989</v>
      </c>
      <c r="P6" s="36">
        <f t="shared" si="2"/>
        <v>0</v>
      </c>
      <c r="Q6" s="37" t="s">
        <v>47</v>
      </c>
      <c r="R6" s="29" t="s">
        <v>48</v>
      </c>
      <c r="S6" s="29" t="s">
        <v>40</v>
      </c>
      <c r="T6" s="29" t="s">
        <v>41</v>
      </c>
      <c r="U6" s="119"/>
      <c r="V6" s="38">
        <v>1</v>
      </c>
      <c r="W6" s="41"/>
      <c r="X6" s="27" t="s">
        <v>35</v>
      </c>
    </row>
    <row r="7" spans="1:24" ht="69" x14ac:dyDescent="0.35">
      <c r="A7" s="13">
        <v>6</v>
      </c>
      <c r="B7" s="14" t="s">
        <v>23</v>
      </c>
      <c r="C7" s="40" t="s">
        <v>24</v>
      </c>
      <c r="D7" s="40" t="s">
        <v>25</v>
      </c>
      <c r="E7" s="15" t="s">
        <v>26</v>
      </c>
      <c r="F7" s="15" t="s">
        <v>45</v>
      </c>
      <c r="G7" s="29" t="s">
        <v>49</v>
      </c>
      <c r="H7" s="30">
        <v>1</v>
      </c>
      <c r="I7" s="31">
        <v>229.39</v>
      </c>
      <c r="J7" s="32">
        <f t="shared" si="0"/>
        <v>418.29941176470584</v>
      </c>
      <c r="K7" s="18">
        <f t="shared" si="1"/>
        <v>600</v>
      </c>
      <c r="L7" s="20"/>
      <c r="M7" s="33">
        <f t="shared" si="2"/>
        <v>208.5363636363636</v>
      </c>
      <c r="N7" s="34">
        <f t="shared" si="2"/>
        <v>380.27219251336891</v>
      </c>
      <c r="O7" s="35">
        <f t="shared" si="2"/>
        <v>545.45454545454538</v>
      </c>
      <c r="P7" s="36">
        <f t="shared" si="2"/>
        <v>0</v>
      </c>
      <c r="Q7" s="37" t="s">
        <v>47</v>
      </c>
      <c r="R7" s="29" t="s">
        <v>48</v>
      </c>
      <c r="S7" s="29" t="s">
        <v>40</v>
      </c>
      <c r="T7" s="29" t="s">
        <v>41</v>
      </c>
      <c r="U7" s="119"/>
      <c r="V7" s="38">
        <v>1</v>
      </c>
      <c r="W7" s="41"/>
      <c r="X7" s="27" t="s">
        <v>35</v>
      </c>
    </row>
    <row r="8" spans="1:24" ht="69" x14ac:dyDescent="0.35">
      <c r="A8" s="13">
        <v>7</v>
      </c>
      <c r="B8" s="14" t="s">
        <v>23</v>
      </c>
      <c r="C8" s="40" t="s">
        <v>24</v>
      </c>
      <c r="D8" s="40" t="s">
        <v>25</v>
      </c>
      <c r="E8" s="15" t="s">
        <v>26</v>
      </c>
      <c r="F8" s="15" t="s">
        <v>45</v>
      </c>
      <c r="G8" s="40" t="s">
        <v>50</v>
      </c>
      <c r="H8" s="42">
        <v>6</v>
      </c>
      <c r="I8" s="31">
        <v>3670.24</v>
      </c>
      <c r="J8" s="32">
        <f t="shared" si="0"/>
        <v>6692.7905882352934</v>
      </c>
      <c r="K8" s="18">
        <f t="shared" si="1"/>
        <v>8200</v>
      </c>
      <c r="L8" s="20"/>
      <c r="M8" s="33">
        <f t="shared" si="2"/>
        <v>3336.5818181818177</v>
      </c>
      <c r="N8" s="34">
        <f t="shared" si="2"/>
        <v>6084.3550802139025</v>
      </c>
      <c r="O8" s="35">
        <f t="shared" si="2"/>
        <v>7454.545454545454</v>
      </c>
      <c r="P8" s="36">
        <f t="shared" si="2"/>
        <v>0</v>
      </c>
      <c r="Q8" s="37" t="s">
        <v>47</v>
      </c>
      <c r="R8" s="29" t="s">
        <v>48</v>
      </c>
      <c r="S8" s="29" t="s">
        <v>40</v>
      </c>
      <c r="T8" s="29" t="s">
        <v>41</v>
      </c>
      <c r="U8" s="119"/>
      <c r="V8" s="38">
        <v>6</v>
      </c>
      <c r="W8" s="41"/>
      <c r="X8" s="27" t="s">
        <v>35</v>
      </c>
    </row>
    <row r="9" spans="1:24" ht="80.5" x14ac:dyDescent="0.35">
      <c r="A9" s="13">
        <v>8</v>
      </c>
      <c r="B9" s="14" t="s">
        <v>23</v>
      </c>
      <c r="C9" s="40" t="s">
        <v>24</v>
      </c>
      <c r="D9" s="40" t="s">
        <v>25</v>
      </c>
      <c r="E9" s="15" t="s">
        <v>26</v>
      </c>
      <c r="F9" s="15" t="s">
        <v>51</v>
      </c>
      <c r="G9" s="40" t="s">
        <v>52</v>
      </c>
      <c r="H9" s="42">
        <v>2</v>
      </c>
      <c r="I9" s="31">
        <v>9625.1</v>
      </c>
      <c r="J9" s="32">
        <f t="shared" si="0"/>
        <v>17551.652941176471</v>
      </c>
      <c r="K9" s="18">
        <f t="shared" si="1"/>
        <v>21400</v>
      </c>
      <c r="L9" s="20"/>
      <c r="M9" s="33">
        <f t="shared" si="2"/>
        <v>8750.0909090909081</v>
      </c>
      <c r="N9" s="34">
        <f t="shared" si="2"/>
        <v>15956.048128342245</v>
      </c>
      <c r="O9" s="35">
        <f t="shared" si="2"/>
        <v>19454.545454545452</v>
      </c>
      <c r="P9" s="36">
        <f t="shared" si="2"/>
        <v>0</v>
      </c>
      <c r="Q9" s="37" t="s">
        <v>53</v>
      </c>
      <c r="R9" s="29" t="s">
        <v>39</v>
      </c>
      <c r="S9" s="29" t="s">
        <v>54</v>
      </c>
      <c r="T9" s="29" t="s">
        <v>55</v>
      </c>
      <c r="U9" s="119"/>
      <c r="V9" s="38">
        <v>2</v>
      </c>
      <c r="W9" s="41"/>
      <c r="X9" s="27" t="s">
        <v>35</v>
      </c>
    </row>
    <row r="10" spans="1:24" ht="80.5" x14ac:dyDescent="0.35">
      <c r="A10" s="13">
        <v>9</v>
      </c>
      <c r="B10" s="14" t="s">
        <v>23</v>
      </c>
      <c r="C10" s="40" t="s">
        <v>24</v>
      </c>
      <c r="D10" s="40" t="s">
        <v>25</v>
      </c>
      <c r="E10" s="15" t="s">
        <v>26</v>
      </c>
      <c r="F10" s="15" t="s">
        <v>51</v>
      </c>
      <c r="G10" s="40" t="s">
        <v>56</v>
      </c>
      <c r="H10" s="42">
        <v>1</v>
      </c>
      <c r="I10" s="31">
        <v>2584.1999999999998</v>
      </c>
      <c r="J10" s="32">
        <f t="shared" si="0"/>
        <v>4712.3647058823526</v>
      </c>
      <c r="K10" s="18">
        <f t="shared" si="1"/>
        <v>5800</v>
      </c>
      <c r="L10" s="20"/>
      <c r="M10" s="33">
        <f t="shared" si="2"/>
        <v>2349.272727272727</v>
      </c>
      <c r="N10" s="34">
        <f t="shared" si="2"/>
        <v>4283.9679144385018</v>
      </c>
      <c r="O10" s="35">
        <f t="shared" si="2"/>
        <v>5272.7272727272721</v>
      </c>
      <c r="P10" s="36">
        <f t="shared" si="2"/>
        <v>0</v>
      </c>
      <c r="Q10" s="37" t="s">
        <v>53</v>
      </c>
      <c r="R10" s="29" t="s">
        <v>39</v>
      </c>
      <c r="S10" s="29" t="s">
        <v>54</v>
      </c>
      <c r="T10" s="29" t="s">
        <v>55</v>
      </c>
      <c r="U10" s="119"/>
      <c r="V10" s="38">
        <v>1</v>
      </c>
      <c r="W10" s="41"/>
      <c r="X10" s="27" t="s">
        <v>35</v>
      </c>
    </row>
    <row r="11" spans="1:24" ht="80.5" x14ac:dyDescent="0.35">
      <c r="A11" s="13">
        <v>10</v>
      </c>
      <c r="B11" s="14" t="s">
        <v>23</v>
      </c>
      <c r="C11" s="40" t="s">
        <v>24</v>
      </c>
      <c r="D11" s="40" t="s">
        <v>25</v>
      </c>
      <c r="E11" s="15" t="s">
        <v>26</v>
      </c>
      <c r="F11" s="15" t="s">
        <v>51</v>
      </c>
      <c r="G11" s="40" t="s">
        <v>57</v>
      </c>
      <c r="H11" s="42">
        <v>12</v>
      </c>
      <c r="I11" s="31">
        <v>17377.7</v>
      </c>
      <c r="J11" s="32">
        <f t="shared" si="0"/>
        <v>31688.74705882353</v>
      </c>
      <c r="K11" s="18">
        <f t="shared" si="1"/>
        <v>38500</v>
      </c>
      <c r="L11" s="20"/>
      <c r="M11" s="33">
        <f t="shared" si="2"/>
        <v>15797.90909090909</v>
      </c>
      <c r="N11" s="34">
        <f t="shared" si="2"/>
        <v>28807.951871657751</v>
      </c>
      <c r="O11" s="35">
        <f t="shared" si="2"/>
        <v>35000</v>
      </c>
      <c r="P11" s="36">
        <f t="shared" si="2"/>
        <v>0</v>
      </c>
      <c r="Q11" s="37" t="s">
        <v>53</v>
      </c>
      <c r="R11" s="29" t="s">
        <v>39</v>
      </c>
      <c r="S11" s="29" t="s">
        <v>54</v>
      </c>
      <c r="T11" s="29" t="s">
        <v>55</v>
      </c>
      <c r="U11" s="120"/>
      <c r="V11" s="38">
        <v>12</v>
      </c>
      <c r="W11" s="43" t="s">
        <v>58</v>
      </c>
      <c r="X11" s="27" t="s">
        <v>35</v>
      </c>
    </row>
    <row r="12" spans="1:24" ht="57.5" x14ac:dyDescent="0.35">
      <c r="A12" s="13">
        <v>11</v>
      </c>
      <c r="B12" s="14" t="s">
        <v>23</v>
      </c>
      <c r="C12" s="40" t="s">
        <v>24</v>
      </c>
      <c r="D12" s="40" t="s">
        <v>25</v>
      </c>
      <c r="E12" s="28" t="s">
        <v>59</v>
      </c>
      <c r="F12" s="15" t="s">
        <v>60</v>
      </c>
      <c r="G12" s="29" t="s">
        <v>61</v>
      </c>
      <c r="H12" s="30">
        <v>4</v>
      </c>
      <c r="I12" s="31">
        <v>10170</v>
      </c>
      <c r="J12" s="32">
        <f t="shared" si="0"/>
        <v>18545.294117647059</v>
      </c>
      <c r="K12" s="18">
        <f t="shared" si="1"/>
        <v>22600</v>
      </c>
      <c r="L12" s="20"/>
      <c r="M12" s="33">
        <f t="shared" si="2"/>
        <v>9245.4545454545441</v>
      </c>
      <c r="N12" s="34">
        <f t="shared" si="2"/>
        <v>16859.358288770054</v>
      </c>
      <c r="O12" s="35">
        <f t="shared" si="2"/>
        <v>20545.454545454544</v>
      </c>
      <c r="P12" s="36">
        <f t="shared" si="2"/>
        <v>0</v>
      </c>
      <c r="Q12" s="44" t="s">
        <v>62</v>
      </c>
      <c r="R12" s="15" t="s">
        <v>63</v>
      </c>
      <c r="S12" s="15" t="s">
        <v>64</v>
      </c>
      <c r="T12" s="15" t="s">
        <v>65</v>
      </c>
      <c r="U12" s="45"/>
      <c r="V12" s="38">
        <v>4</v>
      </c>
      <c r="W12" s="27"/>
      <c r="X12" s="27" t="s">
        <v>35</v>
      </c>
    </row>
    <row r="13" spans="1:24" ht="46" x14ac:dyDescent="0.35">
      <c r="A13" s="13">
        <v>12</v>
      </c>
      <c r="B13" s="14" t="s">
        <v>23</v>
      </c>
      <c r="C13" s="40" t="s">
        <v>24</v>
      </c>
      <c r="D13" s="40" t="s">
        <v>25</v>
      </c>
      <c r="E13" s="15" t="s">
        <v>26</v>
      </c>
      <c r="F13" s="15" t="s">
        <v>66</v>
      </c>
      <c r="G13" s="40" t="s">
        <v>67</v>
      </c>
      <c r="H13" s="42">
        <v>4</v>
      </c>
      <c r="I13" s="31"/>
      <c r="J13" s="32"/>
      <c r="K13" s="31"/>
      <c r="L13" s="20"/>
      <c r="M13" s="33">
        <f t="shared" si="2"/>
        <v>0</v>
      </c>
      <c r="N13" s="34">
        <f t="shared" si="2"/>
        <v>0</v>
      </c>
      <c r="O13" s="35">
        <f t="shared" si="2"/>
        <v>0</v>
      </c>
      <c r="P13" s="36">
        <f t="shared" si="2"/>
        <v>0</v>
      </c>
      <c r="Q13" s="44" t="s">
        <v>68</v>
      </c>
      <c r="R13" s="29" t="s">
        <v>69</v>
      </c>
      <c r="S13" s="15" t="s">
        <v>64</v>
      </c>
      <c r="T13" s="15" t="s">
        <v>65</v>
      </c>
      <c r="U13" s="46"/>
      <c r="V13" s="38">
        <v>4</v>
      </c>
      <c r="W13" s="41"/>
      <c r="X13" s="27" t="s">
        <v>35</v>
      </c>
    </row>
    <row r="14" spans="1:24" ht="46" x14ac:dyDescent="0.35">
      <c r="A14" s="13">
        <v>13</v>
      </c>
      <c r="B14" s="14" t="s">
        <v>23</v>
      </c>
      <c r="C14" s="40" t="s">
        <v>24</v>
      </c>
      <c r="D14" s="40" t="s">
        <v>25</v>
      </c>
      <c r="E14" s="28" t="s">
        <v>59</v>
      </c>
      <c r="F14" s="15" t="s">
        <v>70</v>
      </c>
      <c r="G14" s="29" t="s">
        <v>71</v>
      </c>
      <c r="H14" s="30">
        <v>8</v>
      </c>
      <c r="I14" s="31">
        <v>15460</v>
      </c>
      <c r="J14" s="32">
        <f t="shared" ref="J14:J19" si="3">I14*1.55/(1-0.15)</f>
        <v>28191.764705882353</v>
      </c>
      <c r="K14" s="18">
        <f t="shared" ref="K14:K68" si="4">+ROUNDUP((I14*1.55)/0.7,-2)</f>
        <v>34300</v>
      </c>
      <c r="L14" s="20"/>
      <c r="M14" s="33">
        <f t="shared" si="2"/>
        <v>14054.545454545454</v>
      </c>
      <c r="N14" s="34">
        <f t="shared" si="2"/>
        <v>25628.877005347593</v>
      </c>
      <c r="O14" s="35">
        <f t="shared" si="2"/>
        <v>31181.81818181818</v>
      </c>
      <c r="P14" s="36">
        <f t="shared" si="2"/>
        <v>0</v>
      </c>
      <c r="Q14" s="44" t="s">
        <v>72</v>
      </c>
      <c r="R14" s="29" t="s">
        <v>69</v>
      </c>
      <c r="S14" s="15" t="s">
        <v>64</v>
      </c>
      <c r="T14" s="15" t="s">
        <v>65</v>
      </c>
      <c r="U14" s="47"/>
      <c r="V14" s="38">
        <v>8</v>
      </c>
      <c r="W14" s="48"/>
      <c r="X14" s="27" t="s">
        <v>35</v>
      </c>
    </row>
    <row r="15" spans="1:24" ht="57.5" x14ac:dyDescent="0.35">
      <c r="A15" s="13">
        <v>14</v>
      </c>
      <c r="B15" s="14" t="s">
        <v>23</v>
      </c>
      <c r="C15" s="40" t="s">
        <v>24</v>
      </c>
      <c r="D15" s="40" t="s">
        <v>25</v>
      </c>
      <c r="E15" s="15" t="s">
        <v>26</v>
      </c>
      <c r="F15" s="15" t="s">
        <v>73</v>
      </c>
      <c r="G15" s="40" t="s">
        <v>73</v>
      </c>
      <c r="H15" s="42">
        <v>1</v>
      </c>
      <c r="I15" s="31">
        <v>1910</v>
      </c>
      <c r="J15" s="32">
        <f t="shared" si="3"/>
        <v>3482.9411764705883</v>
      </c>
      <c r="K15" s="18">
        <f t="shared" si="4"/>
        <v>4300</v>
      </c>
      <c r="L15" s="20"/>
      <c r="M15" s="33">
        <f t="shared" si="2"/>
        <v>1736.3636363636363</v>
      </c>
      <c r="N15" s="34">
        <f t="shared" si="2"/>
        <v>3166.3101604278072</v>
      </c>
      <c r="O15" s="35">
        <f t="shared" si="2"/>
        <v>3909.0909090909086</v>
      </c>
      <c r="P15" s="36">
        <f t="shared" si="2"/>
        <v>0</v>
      </c>
      <c r="Q15" s="37" t="s">
        <v>74</v>
      </c>
      <c r="R15" s="29" t="s">
        <v>75</v>
      </c>
      <c r="S15" s="29" t="s">
        <v>76</v>
      </c>
      <c r="T15" s="40" t="s">
        <v>77</v>
      </c>
      <c r="U15" s="47"/>
      <c r="V15" s="49">
        <v>1</v>
      </c>
      <c r="W15" s="48"/>
      <c r="X15" s="27" t="s">
        <v>35</v>
      </c>
    </row>
    <row r="16" spans="1:24" ht="57.5" x14ac:dyDescent="0.35">
      <c r="A16" s="13">
        <v>15</v>
      </c>
      <c r="B16" s="14" t="s">
        <v>23</v>
      </c>
      <c r="C16" s="40" t="s">
        <v>24</v>
      </c>
      <c r="D16" s="40" t="s">
        <v>25</v>
      </c>
      <c r="E16" s="28" t="s">
        <v>59</v>
      </c>
      <c r="F16" s="15" t="s">
        <v>60</v>
      </c>
      <c r="G16" s="40" t="s">
        <v>78</v>
      </c>
      <c r="H16" s="42">
        <v>3</v>
      </c>
      <c r="I16" s="31">
        <v>6400</v>
      </c>
      <c r="J16" s="32">
        <f t="shared" si="3"/>
        <v>11670.588235294117</v>
      </c>
      <c r="K16" s="18">
        <f t="shared" si="4"/>
        <v>14200</v>
      </c>
      <c r="L16" s="20"/>
      <c r="M16" s="33">
        <f t="shared" si="2"/>
        <v>5818.181818181818</v>
      </c>
      <c r="N16" s="34">
        <f t="shared" si="2"/>
        <v>10609.625668449196</v>
      </c>
      <c r="O16" s="35">
        <f t="shared" si="2"/>
        <v>12909.090909090908</v>
      </c>
      <c r="P16" s="36">
        <f t="shared" si="2"/>
        <v>0</v>
      </c>
      <c r="Q16" s="44" t="s">
        <v>79</v>
      </c>
      <c r="R16" s="29" t="s">
        <v>80</v>
      </c>
      <c r="S16" s="15" t="s">
        <v>64</v>
      </c>
      <c r="T16" s="15" t="s">
        <v>65</v>
      </c>
      <c r="U16" s="46"/>
      <c r="V16" s="38">
        <v>3</v>
      </c>
      <c r="W16" s="41"/>
      <c r="X16" s="27" t="s">
        <v>35</v>
      </c>
    </row>
    <row r="17" spans="1:24" ht="46" x14ac:dyDescent="0.35">
      <c r="A17" s="13">
        <v>16</v>
      </c>
      <c r="B17" s="14" t="s">
        <v>23</v>
      </c>
      <c r="C17" s="40" t="s">
        <v>81</v>
      </c>
      <c r="D17" s="40" t="s">
        <v>25</v>
      </c>
      <c r="E17" s="15" t="s">
        <v>26</v>
      </c>
      <c r="F17" s="15" t="s">
        <v>82</v>
      </c>
      <c r="G17" s="29" t="s">
        <v>83</v>
      </c>
      <c r="H17" s="50">
        <v>3</v>
      </c>
      <c r="I17" s="31">
        <v>8834</v>
      </c>
      <c r="J17" s="32">
        <f t="shared" si="3"/>
        <v>16109.058823529413</v>
      </c>
      <c r="K17" s="18">
        <f t="shared" si="4"/>
        <v>19600</v>
      </c>
      <c r="L17" s="20"/>
      <c r="M17" s="33">
        <f t="shared" si="2"/>
        <v>8030.9090909090901</v>
      </c>
      <c r="N17" s="34">
        <f t="shared" si="2"/>
        <v>14644.598930481283</v>
      </c>
      <c r="O17" s="35">
        <f t="shared" si="2"/>
        <v>17818.181818181816</v>
      </c>
      <c r="P17" s="36">
        <f t="shared" si="2"/>
        <v>0</v>
      </c>
      <c r="Q17" s="44" t="s">
        <v>84</v>
      </c>
      <c r="R17" s="15" t="s">
        <v>85</v>
      </c>
      <c r="S17" s="15" t="s">
        <v>64</v>
      </c>
      <c r="T17" s="15" t="s">
        <v>65</v>
      </c>
      <c r="U17" s="47"/>
      <c r="V17" s="38">
        <v>3</v>
      </c>
      <c r="W17" s="48"/>
      <c r="X17" s="27" t="s">
        <v>35</v>
      </c>
    </row>
    <row r="18" spans="1:24" x14ac:dyDescent="0.35">
      <c r="A18" s="13">
        <v>17</v>
      </c>
      <c r="B18" s="14" t="s">
        <v>23</v>
      </c>
      <c r="C18" s="40" t="s">
        <v>86</v>
      </c>
      <c r="D18" s="40" t="s">
        <v>25</v>
      </c>
      <c r="E18" s="15" t="s">
        <v>26</v>
      </c>
      <c r="F18" s="15" t="s">
        <v>82</v>
      </c>
      <c r="G18" s="40" t="s">
        <v>87</v>
      </c>
      <c r="H18" s="38">
        <v>3</v>
      </c>
      <c r="I18" s="31">
        <v>2000</v>
      </c>
      <c r="J18" s="32">
        <f t="shared" si="3"/>
        <v>3647.0588235294117</v>
      </c>
      <c r="K18" s="18">
        <f t="shared" si="4"/>
        <v>4500</v>
      </c>
      <c r="L18" s="20"/>
      <c r="M18" s="33">
        <f t="shared" si="2"/>
        <v>1818.181818181818</v>
      </c>
      <c r="N18" s="34">
        <f t="shared" si="2"/>
        <v>3315.5080213903739</v>
      </c>
      <c r="O18" s="35">
        <f t="shared" si="2"/>
        <v>4090.9090909090905</v>
      </c>
      <c r="P18" s="36">
        <f t="shared" si="2"/>
        <v>0</v>
      </c>
      <c r="Q18" s="44"/>
      <c r="R18" s="15"/>
      <c r="S18" s="15"/>
      <c r="T18" s="15"/>
      <c r="U18" s="47"/>
      <c r="V18" s="38">
        <v>3</v>
      </c>
      <c r="W18" s="48"/>
      <c r="X18" s="27" t="s">
        <v>35</v>
      </c>
    </row>
    <row r="19" spans="1:24" ht="46" x14ac:dyDescent="0.35">
      <c r="A19" s="13">
        <v>18</v>
      </c>
      <c r="B19" s="14" t="s">
        <v>23</v>
      </c>
      <c r="C19" s="40" t="s">
        <v>81</v>
      </c>
      <c r="D19" s="40" t="s">
        <v>25</v>
      </c>
      <c r="E19" s="15" t="s">
        <v>26</v>
      </c>
      <c r="F19" s="15" t="s">
        <v>88</v>
      </c>
      <c r="G19" s="40" t="s">
        <v>88</v>
      </c>
      <c r="H19" s="42">
        <v>3</v>
      </c>
      <c r="I19" s="31">
        <v>20202</v>
      </c>
      <c r="J19" s="32">
        <f t="shared" si="3"/>
        <v>36838.941176470595</v>
      </c>
      <c r="K19" s="18">
        <f t="shared" si="4"/>
        <v>44800</v>
      </c>
      <c r="L19" s="20"/>
      <c r="M19" s="33">
        <f t="shared" si="2"/>
        <v>18365.454545454544</v>
      </c>
      <c r="N19" s="34">
        <f t="shared" si="2"/>
        <v>33489.946524064173</v>
      </c>
      <c r="O19" s="35">
        <f t="shared" si="2"/>
        <v>40727.272727272721</v>
      </c>
      <c r="P19" s="36">
        <f t="shared" si="2"/>
        <v>0</v>
      </c>
      <c r="Q19" s="44" t="s">
        <v>89</v>
      </c>
      <c r="R19" s="15" t="s">
        <v>69</v>
      </c>
      <c r="S19" s="15" t="s">
        <v>64</v>
      </c>
      <c r="T19" s="15" t="s">
        <v>65</v>
      </c>
      <c r="U19" s="47"/>
      <c r="V19" s="38">
        <v>3</v>
      </c>
      <c r="W19" s="48"/>
      <c r="X19" s="27" t="s">
        <v>35</v>
      </c>
    </row>
    <row r="20" spans="1:24" ht="57.5" x14ac:dyDescent="0.35">
      <c r="A20" s="13">
        <v>19</v>
      </c>
      <c r="B20" s="14" t="s">
        <v>90</v>
      </c>
      <c r="C20" s="40" t="s">
        <v>91</v>
      </c>
      <c r="D20" s="40" t="s">
        <v>92</v>
      </c>
      <c r="E20" s="28" t="s">
        <v>93</v>
      </c>
      <c r="F20" s="15" t="s">
        <v>94</v>
      </c>
      <c r="G20" s="29" t="s">
        <v>95</v>
      </c>
      <c r="H20" s="42">
        <v>3</v>
      </c>
      <c r="I20" s="31">
        <v>3700</v>
      </c>
      <c r="J20" s="32">
        <v>6747.0588235294117</v>
      </c>
      <c r="K20" s="18">
        <f t="shared" si="4"/>
        <v>8200</v>
      </c>
      <c r="L20" s="20">
        <v>13000</v>
      </c>
      <c r="M20" s="33">
        <f t="shared" si="2"/>
        <v>3363.6363636363635</v>
      </c>
      <c r="N20" s="34">
        <f t="shared" si="2"/>
        <v>6133.6898395721919</v>
      </c>
      <c r="O20" s="35">
        <f t="shared" si="2"/>
        <v>7454.545454545454</v>
      </c>
      <c r="P20" s="36">
        <f t="shared" si="2"/>
        <v>11818.181818181818</v>
      </c>
      <c r="Q20" s="44" t="s">
        <v>96</v>
      </c>
      <c r="R20" s="15" t="s">
        <v>97</v>
      </c>
      <c r="S20" s="15" t="s">
        <v>98</v>
      </c>
      <c r="T20" s="15" t="s">
        <v>99</v>
      </c>
      <c r="U20" s="47"/>
      <c r="V20" s="38">
        <v>3</v>
      </c>
      <c r="W20" s="48"/>
      <c r="X20" s="48" t="s">
        <v>35</v>
      </c>
    </row>
    <row r="21" spans="1:24" ht="46" x14ac:dyDescent="0.35">
      <c r="A21" s="13">
        <v>20</v>
      </c>
      <c r="B21" s="14" t="s">
        <v>90</v>
      </c>
      <c r="C21" s="40" t="s">
        <v>100</v>
      </c>
      <c r="D21" s="40" t="s">
        <v>92</v>
      </c>
      <c r="E21" s="15" t="s">
        <v>93</v>
      </c>
      <c r="F21" s="15" t="s">
        <v>101</v>
      </c>
      <c r="G21" s="40" t="s">
        <v>102</v>
      </c>
      <c r="H21" s="42">
        <v>3</v>
      </c>
      <c r="I21" s="31">
        <v>1600</v>
      </c>
      <c r="J21" s="32">
        <v>2917.6470588235293</v>
      </c>
      <c r="K21" s="18">
        <f t="shared" si="4"/>
        <v>3600</v>
      </c>
      <c r="L21" s="20">
        <v>6000</v>
      </c>
      <c r="M21" s="33">
        <f t="shared" si="2"/>
        <v>1454.5454545454545</v>
      </c>
      <c r="N21" s="34">
        <f t="shared" si="2"/>
        <v>2652.4064171122991</v>
      </c>
      <c r="O21" s="35">
        <f t="shared" si="2"/>
        <v>3272.7272727272725</v>
      </c>
      <c r="P21" s="36">
        <f t="shared" si="2"/>
        <v>5454.545454545454</v>
      </c>
      <c r="Q21" s="44" t="s">
        <v>103</v>
      </c>
      <c r="R21" s="15" t="s">
        <v>104</v>
      </c>
      <c r="S21" s="15" t="s">
        <v>105</v>
      </c>
      <c r="T21" s="15" t="s">
        <v>106</v>
      </c>
      <c r="U21" s="47"/>
      <c r="V21" s="38">
        <v>3</v>
      </c>
      <c r="W21" s="48"/>
      <c r="X21" s="48" t="s">
        <v>35</v>
      </c>
    </row>
    <row r="22" spans="1:24" ht="80.5" x14ac:dyDescent="0.35">
      <c r="A22" s="13">
        <v>21</v>
      </c>
      <c r="B22" s="14" t="s">
        <v>90</v>
      </c>
      <c r="C22" s="40" t="s">
        <v>100</v>
      </c>
      <c r="D22" s="40" t="s">
        <v>92</v>
      </c>
      <c r="E22" s="15" t="s">
        <v>93</v>
      </c>
      <c r="F22" s="15" t="s">
        <v>101</v>
      </c>
      <c r="G22" s="40" t="s">
        <v>107</v>
      </c>
      <c r="H22" s="42">
        <v>2</v>
      </c>
      <c r="I22" s="31">
        <v>2400</v>
      </c>
      <c r="J22" s="32">
        <v>4376.4705882352946</v>
      </c>
      <c r="K22" s="18">
        <f t="shared" si="4"/>
        <v>5400</v>
      </c>
      <c r="L22" s="20">
        <v>10000</v>
      </c>
      <c r="M22" s="33">
        <f t="shared" si="2"/>
        <v>2181.8181818181815</v>
      </c>
      <c r="N22" s="34">
        <f t="shared" si="2"/>
        <v>3978.6096256684491</v>
      </c>
      <c r="O22" s="35">
        <f t="shared" si="2"/>
        <v>4909.090909090909</v>
      </c>
      <c r="P22" s="36">
        <f t="shared" si="2"/>
        <v>9090.9090909090901</v>
      </c>
      <c r="Q22" s="44" t="s">
        <v>103</v>
      </c>
      <c r="R22" s="15" t="s">
        <v>104</v>
      </c>
      <c r="S22" s="15" t="s">
        <v>108</v>
      </c>
      <c r="T22" s="15" t="s">
        <v>106</v>
      </c>
      <c r="U22" s="47"/>
      <c r="V22" s="38">
        <v>2</v>
      </c>
      <c r="W22" s="48"/>
      <c r="X22" s="48" t="s">
        <v>35</v>
      </c>
    </row>
    <row r="23" spans="1:24" ht="69" x14ac:dyDescent="0.35">
      <c r="A23" s="13">
        <v>22</v>
      </c>
      <c r="B23" s="14" t="s">
        <v>90</v>
      </c>
      <c r="C23" s="40" t="s">
        <v>100</v>
      </c>
      <c r="D23" s="40" t="s">
        <v>92</v>
      </c>
      <c r="E23" s="15" t="s">
        <v>93</v>
      </c>
      <c r="F23" s="15" t="s">
        <v>101</v>
      </c>
      <c r="G23" s="40" t="s">
        <v>109</v>
      </c>
      <c r="H23" s="42">
        <v>4</v>
      </c>
      <c r="I23" s="31">
        <v>3900</v>
      </c>
      <c r="J23" s="32">
        <v>7111.7647058823532</v>
      </c>
      <c r="K23" s="18">
        <f t="shared" si="4"/>
        <v>8700</v>
      </c>
      <c r="L23" s="20">
        <v>15000</v>
      </c>
      <c r="M23" s="33">
        <f t="shared" si="2"/>
        <v>3545.454545454545</v>
      </c>
      <c r="N23" s="34">
        <f t="shared" si="2"/>
        <v>6465.2406417112297</v>
      </c>
      <c r="O23" s="35">
        <f t="shared" si="2"/>
        <v>7909.0909090909081</v>
      </c>
      <c r="P23" s="36">
        <f t="shared" si="2"/>
        <v>13636.363636363636</v>
      </c>
      <c r="Q23" s="44" t="s">
        <v>103</v>
      </c>
      <c r="R23" s="15" t="s">
        <v>104</v>
      </c>
      <c r="S23" s="15" t="s">
        <v>110</v>
      </c>
      <c r="T23" s="15" t="s">
        <v>106</v>
      </c>
      <c r="U23" s="47"/>
      <c r="V23" s="38">
        <v>4</v>
      </c>
      <c r="W23" s="48"/>
      <c r="X23" s="48" t="s">
        <v>35</v>
      </c>
    </row>
    <row r="24" spans="1:24" ht="57.5" x14ac:dyDescent="0.35">
      <c r="A24" s="13">
        <v>23</v>
      </c>
      <c r="B24" s="14" t="s">
        <v>90</v>
      </c>
      <c r="C24" s="40" t="s">
        <v>111</v>
      </c>
      <c r="D24" s="40" t="s">
        <v>92</v>
      </c>
      <c r="E24" s="28" t="s">
        <v>93</v>
      </c>
      <c r="F24" s="15" t="s">
        <v>112</v>
      </c>
      <c r="G24" s="40" t="s">
        <v>113</v>
      </c>
      <c r="H24" s="42">
        <v>3</v>
      </c>
      <c r="I24" s="31">
        <v>7300</v>
      </c>
      <c r="J24" s="32">
        <v>13311.764705882353</v>
      </c>
      <c r="K24" s="18">
        <f t="shared" si="4"/>
        <v>16200</v>
      </c>
      <c r="L24" s="20">
        <v>25000</v>
      </c>
      <c r="M24" s="33">
        <f t="shared" si="2"/>
        <v>6636.363636363636</v>
      </c>
      <c r="N24" s="34">
        <f t="shared" si="2"/>
        <v>12101.604278074865</v>
      </c>
      <c r="O24" s="35">
        <f t="shared" si="2"/>
        <v>14727.272727272726</v>
      </c>
      <c r="P24" s="36">
        <f t="shared" si="2"/>
        <v>22727.272727272724</v>
      </c>
      <c r="Q24" s="44" t="s">
        <v>114</v>
      </c>
      <c r="R24" s="15"/>
      <c r="S24" s="15" t="s">
        <v>115</v>
      </c>
      <c r="T24" s="15" t="s">
        <v>116</v>
      </c>
      <c r="U24" s="47"/>
      <c r="V24" s="38">
        <v>3</v>
      </c>
      <c r="W24" s="48"/>
      <c r="X24" s="48" t="s">
        <v>35</v>
      </c>
    </row>
    <row r="25" spans="1:24" ht="80.5" x14ac:dyDescent="0.35">
      <c r="A25" s="13">
        <v>24</v>
      </c>
      <c r="B25" s="14" t="s">
        <v>90</v>
      </c>
      <c r="C25" s="40" t="s">
        <v>111</v>
      </c>
      <c r="D25" s="40" t="s">
        <v>92</v>
      </c>
      <c r="E25" s="28" t="s">
        <v>117</v>
      </c>
      <c r="F25" s="15" t="s">
        <v>118</v>
      </c>
      <c r="G25" s="40" t="s">
        <v>119</v>
      </c>
      <c r="H25" s="42">
        <v>5</v>
      </c>
      <c r="I25" s="31">
        <v>1500</v>
      </c>
      <c r="J25" s="32">
        <v>2735.294117647059</v>
      </c>
      <c r="K25" s="18">
        <f t="shared" si="4"/>
        <v>3400</v>
      </c>
      <c r="L25" s="20"/>
      <c r="M25" s="33">
        <f t="shared" si="2"/>
        <v>1363.6363636363635</v>
      </c>
      <c r="N25" s="34">
        <f t="shared" si="2"/>
        <v>2486.6310160427806</v>
      </c>
      <c r="O25" s="35">
        <f t="shared" si="2"/>
        <v>3090.9090909090905</v>
      </c>
      <c r="P25" s="36">
        <f t="shared" si="2"/>
        <v>0</v>
      </c>
      <c r="Q25" s="44" t="s">
        <v>120</v>
      </c>
      <c r="R25" s="15" t="s">
        <v>121</v>
      </c>
      <c r="S25" s="15" t="s">
        <v>122</v>
      </c>
      <c r="T25" s="15" t="s">
        <v>123</v>
      </c>
      <c r="U25" s="47"/>
      <c r="V25" s="38">
        <v>5</v>
      </c>
      <c r="W25" s="41" t="s">
        <v>124</v>
      </c>
      <c r="X25" s="48" t="s">
        <v>35</v>
      </c>
    </row>
    <row r="26" spans="1:24" ht="80.5" x14ac:dyDescent="0.35">
      <c r="A26" s="13">
        <v>25</v>
      </c>
      <c r="B26" s="14" t="s">
        <v>90</v>
      </c>
      <c r="C26" s="40" t="s">
        <v>111</v>
      </c>
      <c r="D26" s="40" t="s">
        <v>92</v>
      </c>
      <c r="E26" s="28" t="s">
        <v>117</v>
      </c>
      <c r="F26" s="15" t="s">
        <v>118</v>
      </c>
      <c r="G26" s="40" t="s">
        <v>125</v>
      </c>
      <c r="H26" s="51">
        <v>1</v>
      </c>
      <c r="I26" s="31">
        <v>0</v>
      </c>
      <c r="J26" s="32">
        <v>0</v>
      </c>
      <c r="K26" s="18">
        <f t="shared" si="4"/>
        <v>0</v>
      </c>
      <c r="L26" s="20"/>
      <c r="M26" s="33">
        <f t="shared" si="2"/>
        <v>0</v>
      </c>
      <c r="N26" s="34">
        <f t="shared" si="2"/>
        <v>0</v>
      </c>
      <c r="O26" s="35">
        <f t="shared" si="2"/>
        <v>0</v>
      </c>
      <c r="P26" s="36">
        <f t="shared" si="2"/>
        <v>0</v>
      </c>
      <c r="Q26" s="44" t="s">
        <v>126</v>
      </c>
      <c r="R26" s="15"/>
      <c r="S26" s="15" t="s">
        <v>127</v>
      </c>
      <c r="T26" s="15" t="s">
        <v>128</v>
      </c>
      <c r="U26" s="47"/>
      <c r="V26" s="38">
        <v>1</v>
      </c>
      <c r="W26" s="48"/>
      <c r="X26" s="52" t="s">
        <v>35</v>
      </c>
    </row>
    <row r="27" spans="1:24" ht="126.5" x14ac:dyDescent="0.35">
      <c r="A27" s="13">
        <v>26</v>
      </c>
      <c r="B27" s="14" t="s">
        <v>90</v>
      </c>
      <c r="C27" s="40" t="s">
        <v>111</v>
      </c>
      <c r="D27" s="40" t="s">
        <v>92</v>
      </c>
      <c r="E27" s="28" t="s">
        <v>117</v>
      </c>
      <c r="F27" s="15" t="s">
        <v>118</v>
      </c>
      <c r="G27" s="40" t="s">
        <v>129</v>
      </c>
      <c r="H27" s="42">
        <v>2</v>
      </c>
      <c r="I27" s="31">
        <v>1800</v>
      </c>
      <c r="J27" s="32">
        <v>3282.3529411764707</v>
      </c>
      <c r="K27" s="18">
        <f t="shared" si="4"/>
        <v>4000</v>
      </c>
      <c r="L27" s="20"/>
      <c r="M27" s="33">
        <f t="shared" si="2"/>
        <v>1636.3636363636363</v>
      </c>
      <c r="N27" s="34">
        <f t="shared" si="2"/>
        <v>2983.9572192513369</v>
      </c>
      <c r="O27" s="35">
        <f t="shared" si="2"/>
        <v>3636.363636363636</v>
      </c>
      <c r="P27" s="36">
        <f t="shared" si="2"/>
        <v>0</v>
      </c>
      <c r="Q27" s="44" t="s">
        <v>130</v>
      </c>
      <c r="R27" s="15"/>
      <c r="S27" s="15" t="s">
        <v>131</v>
      </c>
      <c r="T27" s="15" t="s">
        <v>132</v>
      </c>
      <c r="U27" s="47"/>
      <c r="V27" s="38">
        <v>2</v>
      </c>
      <c r="W27" s="48"/>
      <c r="X27" s="48" t="s">
        <v>35</v>
      </c>
    </row>
    <row r="28" spans="1:24" ht="57.5" x14ac:dyDescent="0.35">
      <c r="A28" s="13">
        <v>27</v>
      </c>
      <c r="B28" s="14" t="s">
        <v>90</v>
      </c>
      <c r="C28" s="40" t="s">
        <v>111</v>
      </c>
      <c r="D28" s="40" t="s">
        <v>92</v>
      </c>
      <c r="E28" s="28" t="s">
        <v>117</v>
      </c>
      <c r="F28" s="15" t="s">
        <v>118</v>
      </c>
      <c r="G28" s="40" t="s">
        <v>133</v>
      </c>
      <c r="H28" s="42">
        <v>1</v>
      </c>
      <c r="I28" s="31">
        <v>500</v>
      </c>
      <c r="J28" s="32">
        <v>911.76470588235293</v>
      </c>
      <c r="K28" s="18">
        <f t="shared" si="4"/>
        <v>1200</v>
      </c>
      <c r="L28" s="20"/>
      <c r="M28" s="33">
        <f t="shared" si="2"/>
        <v>454.5454545454545</v>
      </c>
      <c r="N28" s="34">
        <f t="shared" si="2"/>
        <v>828.87700534759347</v>
      </c>
      <c r="O28" s="35">
        <f t="shared" si="2"/>
        <v>1090.9090909090908</v>
      </c>
      <c r="P28" s="36">
        <f t="shared" si="2"/>
        <v>0</v>
      </c>
      <c r="Q28" s="44" t="s">
        <v>134</v>
      </c>
      <c r="R28" s="15" t="s">
        <v>135</v>
      </c>
      <c r="S28" s="15" t="s">
        <v>136</v>
      </c>
      <c r="T28" s="15" t="s">
        <v>137</v>
      </c>
      <c r="U28" s="47"/>
      <c r="V28" s="38">
        <v>1</v>
      </c>
      <c r="W28" s="48"/>
      <c r="X28" s="48" t="s">
        <v>35</v>
      </c>
    </row>
    <row r="29" spans="1:24" ht="57.5" x14ac:dyDescent="0.35">
      <c r="A29" s="13">
        <v>28</v>
      </c>
      <c r="B29" s="14" t="s">
        <v>90</v>
      </c>
      <c r="C29" s="40" t="s">
        <v>111</v>
      </c>
      <c r="D29" s="40" t="s">
        <v>92</v>
      </c>
      <c r="E29" s="28" t="s">
        <v>117</v>
      </c>
      <c r="F29" s="29" t="s">
        <v>118</v>
      </c>
      <c r="G29" s="40" t="s">
        <v>138</v>
      </c>
      <c r="H29" s="42">
        <v>1</v>
      </c>
      <c r="I29" s="31">
        <v>1600</v>
      </c>
      <c r="J29" s="32">
        <v>2917.6470588235293</v>
      </c>
      <c r="K29" s="18">
        <f t="shared" si="4"/>
        <v>3600</v>
      </c>
      <c r="L29" s="20"/>
      <c r="M29" s="33">
        <f t="shared" si="2"/>
        <v>1454.5454545454545</v>
      </c>
      <c r="N29" s="34">
        <f t="shared" si="2"/>
        <v>2652.4064171122991</v>
      </c>
      <c r="O29" s="35">
        <f t="shared" si="2"/>
        <v>3272.7272727272725</v>
      </c>
      <c r="P29" s="36">
        <f t="shared" si="2"/>
        <v>0</v>
      </c>
      <c r="Q29" s="44" t="s">
        <v>139</v>
      </c>
      <c r="R29" s="15"/>
      <c r="S29" s="15" t="s">
        <v>140</v>
      </c>
      <c r="T29" s="15" t="s">
        <v>141</v>
      </c>
      <c r="U29" s="47"/>
      <c r="V29" s="38">
        <v>1</v>
      </c>
      <c r="W29" s="48"/>
      <c r="X29" s="52" t="s">
        <v>35</v>
      </c>
    </row>
    <row r="30" spans="1:24" x14ac:dyDescent="0.35">
      <c r="A30" s="13">
        <v>29</v>
      </c>
      <c r="B30" s="14" t="s">
        <v>90</v>
      </c>
      <c r="C30" s="40" t="s">
        <v>111</v>
      </c>
      <c r="D30" s="40" t="s">
        <v>92</v>
      </c>
      <c r="E30" s="28" t="s">
        <v>117</v>
      </c>
      <c r="F30" s="29" t="s">
        <v>142</v>
      </c>
      <c r="G30" s="40" t="s">
        <v>143</v>
      </c>
      <c r="H30" s="42">
        <v>1</v>
      </c>
      <c r="I30" s="31">
        <v>1000</v>
      </c>
      <c r="J30" s="32">
        <v>1823.5294117647059</v>
      </c>
      <c r="K30" s="18">
        <f t="shared" si="4"/>
        <v>2300</v>
      </c>
      <c r="L30" s="20"/>
      <c r="M30" s="33">
        <f t="shared" si="2"/>
        <v>909.09090909090901</v>
      </c>
      <c r="N30" s="34">
        <f t="shared" si="2"/>
        <v>1657.7540106951869</v>
      </c>
      <c r="O30" s="35">
        <f t="shared" si="2"/>
        <v>2090.9090909090905</v>
      </c>
      <c r="P30" s="36">
        <f t="shared" si="2"/>
        <v>0</v>
      </c>
      <c r="Q30" s="44"/>
      <c r="R30" s="15" t="s">
        <v>144</v>
      </c>
      <c r="S30" s="15"/>
      <c r="T30" s="15"/>
      <c r="U30" s="47"/>
      <c r="V30" s="38">
        <v>1</v>
      </c>
      <c r="W30" s="48"/>
      <c r="X30" s="52" t="s">
        <v>35</v>
      </c>
    </row>
    <row r="31" spans="1:24" ht="80.5" x14ac:dyDescent="0.35">
      <c r="A31" s="13">
        <v>30</v>
      </c>
      <c r="B31" s="14" t="s">
        <v>90</v>
      </c>
      <c r="C31" s="40" t="s">
        <v>111</v>
      </c>
      <c r="D31" s="40" t="s">
        <v>92</v>
      </c>
      <c r="E31" s="28" t="s">
        <v>117</v>
      </c>
      <c r="F31" s="29" t="s">
        <v>118</v>
      </c>
      <c r="G31" s="40" t="s">
        <v>145</v>
      </c>
      <c r="H31" s="42">
        <v>1</v>
      </c>
      <c r="I31" s="31">
        <v>2300</v>
      </c>
      <c r="J31" s="32">
        <v>4194.1176470588234</v>
      </c>
      <c r="K31" s="18">
        <f t="shared" si="4"/>
        <v>5100</v>
      </c>
      <c r="L31" s="20"/>
      <c r="M31" s="33">
        <f t="shared" si="2"/>
        <v>2090.9090909090905</v>
      </c>
      <c r="N31" s="34">
        <f t="shared" si="2"/>
        <v>3812.8342245989302</v>
      </c>
      <c r="O31" s="35">
        <f t="shared" si="2"/>
        <v>4636.363636363636</v>
      </c>
      <c r="P31" s="36">
        <f t="shared" si="2"/>
        <v>0</v>
      </c>
      <c r="Q31" s="44" t="s">
        <v>120</v>
      </c>
      <c r="R31" s="15" t="s">
        <v>146</v>
      </c>
      <c r="S31" s="15" t="s">
        <v>147</v>
      </c>
      <c r="T31" s="15" t="s">
        <v>148</v>
      </c>
      <c r="U31" s="47"/>
      <c r="V31" s="38">
        <v>1</v>
      </c>
      <c r="W31" s="48"/>
      <c r="X31" s="48" t="s">
        <v>35</v>
      </c>
    </row>
    <row r="32" spans="1:24" x14ac:dyDescent="0.35">
      <c r="A32" s="13">
        <v>31</v>
      </c>
      <c r="B32" s="14" t="s">
        <v>90</v>
      </c>
      <c r="C32" s="40" t="s">
        <v>111</v>
      </c>
      <c r="D32" s="40" t="s">
        <v>92</v>
      </c>
      <c r="E32" s="28" t="s">
        <v>117</v>
      </c>
      <c r="F32" s="29" t="s">
        <v>118</v>
      </c>
      <c r="G32" s="40" t="s">
        <v>149</v>
      </c>
      <c r="H32" s="42">
        <v>3</v>
      </c>
      <c r="I32" s="31">
        <v>3400</v>
      </c>
      <c r="J32" s="32">
        <v>6200</v>
      </c>
      <c r="K32" s="18">
        <f t="shared" si="4"/>
        <v>7600</v>
      </c>
      <c r="L32" s="20"/>
      <c r="M32" s="33">
        <f t="shared" si="2"/>
        <v>3090.9090909090905</v>
      </c>
      <c r="N32" s="34">
        <f t="shared" si="2"/>
        <v>5636.363636363636</v>
      </c>
      <c r="O32" s="35">
        <f t="shared" si="2"/>
        <v>6909.0909090909081</v>
      </c>
      <c r="P32" s="36">
        <f t="shared" si="2"/>
        <v>0</v>
      </c>
      <c r="Q32" s="44"/>
      <c r="R32" s="15" t="s">
        <v>150</v>
      </c>
      <c r="S32" s="15"/>
      <c r="T32" s="15"/>
      <c r="U32" s="47"/>
      <c r="V32" s="38">
        <v>3</v>
      </c>
      <c r="W32" s="48"/>
      <c r="X32" s="48" t="s">
        <v>35</v>
      </c>
    </row>
    <row r="33" spans="1:24" ht="23" x14ac:dyDescent="0.35">
      <c r="A33" s="13">
        <v>32</v>
      </c>
      <c r="B33" s="14" t="s">
        <v>90</v>
      </c>
      <c r="C33" s="40" t="s">
        <v>111</v>
      </c>
      <c r="D33" s="29" t="s">
        <v>92</v>
      </c>
      <c r="E33" s="28" t="s">
        <v>93</v>
      </c>
      <c r="F33" s="29" t="s">
        <v>94</v>
      </c>
      <c r="G33" s="40" t="s">
        <v>151</v>
      </c>
      <c r="H33" s="42">
        <v>2</v>
      </c>
      <c r="I33" s="31">
        <v>1200</v>
      </c>
      <c r="J33" s="32">
        <v>2188.2352941176473</v>
      </c>
      <c r="K33" s="18">
        <f t="shared" si="4"/>
        <v>2700</v>
      </c>
      <c r="L33" s="20"/>
      <c r="M33" s="33">
        <f t="shared" si="2"/>
        <v>1090.9090909090908</v>
      </c>
      <c r="N33" s="34">
        <f t="shared" si="2"/>
        <v>1989.3048128342245</v>
      </c>
      <c r="O33" s="35">
        <f t="shared" si="2"/>
        <v>2454.5454545454545</v>
      </c>
      <c r="P33" s="36">
        <f t="shared" si="2"/>
        <v>0</v>
      </c>
      <c r="Q33" s="44" t="s">
        <v>152</v>
      </c>
      <c r="R33" s="15" t="s">
        <v>153</v>
      </c>
      <c r="S33" s="15"/>
      <c r="T33" s="15"/>
      <c r="U33" s="47"/>
      <c r="V33" s="38">
        <v>2</v>
      </c>
      <c r="W33" s="48"/>
      <c r="X33" s="48" t="s">
        <v>35</v>
      </c>
    </row>
    <row r="34" spans="1:24" ht="23" x14ac:dyDescent="0.35">
      <c r="A34" s="13">
        <v>33</v>
      </c>
      <c r="B34" s="14" t="s">
        <v>90</v>
      </c>
      <c r="C34" s="40" t="s">
        <v>111</v>
      </c>
      <c r="D34" s="29" t="s">
        <v>92</v>
      </c>
      <c r="E34" s="28" t="s">
        <v>154</v>
      </c>
      <c r="F34" s="29" t="s">
        <v>94</v>
      </c>
      <c r="G34" s="40" t="s">
        <v>155</v>
      </c>
      <c r="H34" s="42">
        <v>2</v>
      </c>
      <c r="I34" s="31">
        <v>1700</v>
      </c>
      <c r="J34" s="32">
        <v>3100</v>
      </c>
      <c r="K34" s="18">
        <f t="shared" si="4"/>
        <v>3800</v>
      </c>
      <c r="L34" s="20"/>
      <c r="M34" s="33">
        <f t="shared" si="2"/>
        <v>1545.4545454545453</v>
      </c>
      <c r="N34" s="34">
        <f t="shared" si="2"/>
        <v>2818.181818181818</v>
      </c>
      <c r="O34" s="35">
        <f t="shared" si="2"/>
        <v>3454.545454545454</v>
      </c>
      <c r="P34" s="36">
        <f t="shared" si="2"/>
        <v>0</v>
      </c>
      <c r="Q34" s="44" t="s">
        <v>152</v>
      </c>
      <c r="R34" s="15" t="s">
        <v>153</v>
      </c>
      <c r="S34" s="15"/>
      <c r="T34" s="15"/>
      <c r="U34" s="47"/>
      <c r="V34" s="38">
        <v>2</v>
      </c>
      <c r="W34" s="48"/>
      <c r="X34" s="48" t="s">
        <v>35</v>
      </c>
    </row>
    <row r="35" spans="1:24" x14ac:dyDescent="0.35">
      <c r="A35" s="13">
        <v>34</v>
      </c>
      <c r="B35" s="14" t="s">
        <v>90</v>
      </c>
      <c r="C35" s="40" t="s">
        <v>100</v>
      </c>
      <c r="D35" s="29" t="s">
        <v>92</v>
      </c>
      <c r="E35" s="28" t="s">
        <v>59</v>
      </c>
      <c r="F35" s="40" t="s">
        <v>156</v>
      </c>
      <c r="G35" s="53" t="s">
        <v>157</v>
      </c>
      <c r="H35" s="42">
        <v>1</v>
      </c>
      <c r="I35" s="31">
        <v>600</v>
      </c>
      <c r="J35" s="32">
        <v>1094.1176470588236</v>
      </c>
      <c r="K35" s="18">
        <f t="shared" si="4"/>
        <v>1400</v>
      </c>
      <c r="L35" s="20">
        <v>4000</v>
      </c>
      <c r="M35" s="33">
        <f t="shared" si="2"/>
        <v>545.45454545454538</v>
      </c>
      <c r="N35" s="34">
        <f t="shared" si="2"/>
        <v>994.65240641711227</v>
      </c>
      <c r="O35" s="35">
        <f t="shared" si="2"/>
        <v>1272.7272727272725</v>
      </c>
      <c r="P35" s="36">
        <f t="shared" si="2"/>
        <v>3636.363636363636</v>
      </c>
      <c r="Q35" s="54"/>
      <c r="R35" s="55" t="s">
        <v>153</v>
      </c>
      <c r="S35" s="55"/>
      <c r="T35" s="55"/>
      <c r="U35" s="47"/>
      <c r="V35" s="38">
        <v>1</v>
      </c>
      <c r="W35" s="48"/>
      <c r="X35" s="48" t="s">
        <v>35</v>
      </c>
    </row>
    <row r="36" spans="1:24" ht="57.5" x14ac:dyDescent="0.35">
      <c r="A36" s="13">
        <v>35</v>
      </c>
      <c r="B36" s="14" t="s">
        <v>90</v>
      </c>
      <c r="C36" s="40" t="s">
        <v>100</v>
      </c>
      <c r="D36" s="29" t="s">
        <v>92</v>
      </c>
      <c r="E36" s="28" t="s">
        <v>93</v>
      </c>
      <c r="F36" s="28" t="s">
        <v>158</v>
      </c>
      <c r="G36" s="40" t="s">
        <v>159</v>
      </c>
      <c r="H36" s="42">
        <v>3</v>
      </c>
      <c r="I36" s="31">
        <v>600</v>
      </c>
      <c r="J36" s="32">
        <v>1094.1176470588236</v>
      </c>
      <c r="K36" s="18">
        <f t="shared" si="4"/>
        <v>1400</v>
      </c>
      <c r="L36" s="20">
        <v>5000</v>
      </c>
      <c r="M36" s="33">
        <f t="shared" si="2"/>
        <v>545.45454545454538</v>
      </c>
      <c r="N36" s="34">
        <f t="shared" si="2"/>
        <v>994.65240641711227</v>
      </c>
      <c r="O36" s="35">
        <f t="shared" si="2"/>
        <v>1272.7272727272725</v>
      </c>
      <c r="P36" s="36">
        <f t="shared" si="2"/>
        <v>4545.454545454545</v>
      </c>
      <c r="Q36" s="44" t="s">
        <v>160</v>
      </c>
      <c r="R36" s="15" t="s">
        <v>161</v>
      </c>
      <c r="S36" s="15" t="s">
        <v>162</v>
      </c>
      <c r="T36" s="15" t="s">
        <v>163</v>
      </c>
      <c r="U36" s="47"/>
      <c r="V36" s="38">
        <v>3</v>
      </c>
      <c r="W36" s="48"/>
      <c r="X36" s="56" t="s">
        <v>35</v>
      </c>
    </row>
    <row r="37" spans="1:24" x14ac:dyDescent="0.35">
      <c r="A37" s="13">
        <v>36</v>
      </c>
      <c r="B37" s="14" t="s">
        <v>90</v>
      </c>
      <c r="C37" s="40" t="s">
        <v>100</v>
      </c>
      <c r="D37" s="29" t="s">
        <v>92</v>
      </c>
      <c r="E37" s="28" t="s">
        <v>59</v>
      </c>
      <c r="F37" s="40" t="s">
        <v>156</v>
      </c>
      <c r="G37" s="40" t="s">
        <v>164</v>
      </c>
      <c r="H37" s="42">
        <v>2</v>
      </c>
      <c r="I37" s="31">
        <v>600</v>
      </c>
      <c r="J37" s="32">
        <v>1094.1176470588236</v>
      </c>
      <c r="K37" s="18">
        <f t="shared" si="4"/>
        <v>1400</v>
      </c>
      <c r="L37" s="20">
        <v>4000</v>
      </c>
      <c r="M37" s="33">
        <f t="shared" si="2"/>
        <v>545.45454545454538</v>
      </c>
      <c r="N37" s="34">
        <f t="shared" si="2"/>
        <v>994.65240641711227</v>
      </c>
      <c r="O37" s="35">
        <f t="shared" si="2"/>
        <v>1272.7272727272725</v>
      </c>
      <c r="P37" s="36">
        <f t="shared" si="2"/>
        <v>3636.363636363636</v>
      </c>
      <c r="Q37" s="44"/>
      <c r="R37" s="15" t="s">
        <v>153</v>
      </c>
      <c r="S37" s="15"/>
      <c r="T37" s="15"/>
      <c r="U37" s="47"/>
      <c r="V37" s="38">
        <v>2</v>
      </c>
      <c r="W37" s="57"/>
      <c r="X37" s="56" t="s">
        <v>35</v>
      </c>
    </row>
    <row r="38" spans="1:24" x14ac:dyDescent="0.35">
      <c r="A38" s="13">
        <v>37</v>
      </c>
      <c r="B38" s="14" t="s">
        <v>90</v>
      </c>
      <c r="C38" s="40" t="s">
        <v>100</v>
      </c>
      <c r="D38" s="29" t="s">
        <v>92</v>
      </c>
      <c r="E38" s="28" t="s">
        <v>59</v>
      </c>
      <c r="F38" s="40" t="s">
        <v>165</v>
      </c>
      <c r="G38" s="40" t="s">
        <v>166</v>
      </c>
      <c r="H38" s="42">
        <v>2</v>
      </c>
      <c r="I38" s="31">
        <v>600</v>
      </c>
      <c r="J38" s="32">
        <v>1094.1176470588236</v>
      </c>
      <c r="K38" s="18">
        <f t="shared" si="4"/>
        <v>1400</v>
      </c>
      <c r="L38" s="20">
        <v>4000</v>
      </c>
      <c r="M38" s="33">
        <f t="shared" si="2"/>
        <v>545.45454545454538</v>
      </c>
      <c r="N38" s="34">
        <f t="shared" si="2"/>
        <v>994.65240641711227</v>
      </c>
      <c r="O38" s="35">
        <f t="shared" si="2"/>
        <v>1272.7272727272725</v>
      </c>
      <c r="P38" s="36">
        <f t="shared" si="2"/>
        <v>3636.363636363636</v>
      </c>
      <c r="Q38" s="44"/>
      <c r="R38" s="15" t="s">
        <v>153</v>
      </c>
      <c r="S38" s="15"/>
      <c r="T38" s="15"/>
      <c r="U38" s="47"/>
      <c r="V38" s="38">
        <v>2</v>
      </c>
      <c r="W38" s="57"/>
      <c r="X38" s="56" t="s">
        <v>35</v>
      </c>
    </row>
    <row r="39" spans="1:24" ht="92" x14ac:dyDescent="0.35">
      <c r="A39" s="13">
        <v>38</v>
      </c>
      <c r="B39" s="14" t="s">
        <v>90</v>
      </c>
      <c r="C39" s="40" t="s">
        <v>100</v>
      </c>
      <c r="D39" s="29" t="s">
        <v>92</v>
      </c>
      <c r="E39" s="28" t="s">
        <v>93</v>
      </c>
      <c r="F39" s="28" t="s">
        <v>167</v>
      </c>
      <c r="G39" s="53" t="s">
        <v>167</v>
      </c>
      <c r="H39" s="42">
        <v>2</v>
      </c>
      <c r="I39" s="31">
        <v>1000</v>
      </c>
      <c r="J39" s="32">
        <v>1823.5294117647059</v>
      </c>
      <c r="K39" s="18">
        <f t="shared" si="4"/>
        <v>2300</v>
      </c>
      <c r="L39" s="20">
        <v>10000</v>
      </c>
      <c r="M39" s="33">
        <f t="shared" si="2"/>
        <v>909.09090909090901</v>
      </c>
      <c r="N39" s="34">
        <f t="shared" si="2"/>
        <v>1657.7540106951869</v>
      </c>
      <c r="O39" s="35">
        <f t="shared" si="2"/>
        <v>2090.9090909090905</v>
      </c>
      <c r="P39" s="36">
        <f t="shared" si="2"/>
        <v>9090.9090909090901</v>
      </c>
      <c r="Q39" s="44" t="s">
        <v>168</v>
      </c>
      <c r="R39" s="15"/>
      <c r="S39" s="15" t="s">
        <v>169</v>
      </c>
      <c r="T39" s="15" t="s">
        <v>170</v>
      </c>
      <c r="U39" s="47"/>
      <c r="V39" s="38">
        <v>2</v>
      </c>
      <c r="W39" s="48"/>
      <c r="X39" s="58" t="s">
        <v>35</v>
      </c>
    </row>
    <row r="40" spans="1:24" ht="80.5" x14ac:dyDescent="0.35">
      <c r="A40" s="13">
        <v>39</v>
      </c>
      <c r="B40" s="14" t="s">
        <v>90</v>
      </c>
      <c r="C40" s="40" t="s">
        <v>100</v>
      </c>
      <c r="D40" s="29" t="s">
        <v>92</v>
      </c>
      <c r="E40" s="28" t="s">
        <v>93</v>
      </c>
      <c r="F40" s="28" t="s">
        <v>171</v>
      </c>
      <c r="G40" s="40" t="s">
        <v>171</v>
      </c>
      <c r="H40" s="42">
        <v>2</v>
      </c>
      <c r="I40" s="31">
        <v>2800</v>
      </c>
      <c r="J40" s="32">
        <v>5105.8823529411766</v>
      </c>
      <c r="K40" s="18">
        <f t="shared" si="4"/>
        <v>6200</v>
      </c>
      <c r="L40" s="20">
        <v>20000</v>
      </c>
      <c r="M40" s="33">
        <f t="shared" si="2"/>
        <v>2545.454545454545</v>
      </c>
      <c r="N40" s="34">
        <f t="shared" si="2"/>
        <v>4641.7112299465234</v>
      </c>
      <c r="O40" s="35">
        <f t="shared" si="2"/>
        <v>5636.363636363636</v>
      </c>
      <c r="P40" s="36">
        <f t="shared" si="2"/>
        <v>18181.81818181818</v>
      </c>
      <c r="Q40" s="44" t="s">
        <v>172</v>
      </c>
      <c r="R40" s="15" t="s">
        <v>173</v>
      </c>
      <c r="S40" s="15" t="s">
        <v>174</v>
      </c>
      <c r="T40" s="15" t="s">
        <v>175</v>
      </c>
      <c r="U40" s="47"/>
      <c r="V40" s="38">
        <v>2</v>
      </c>
      <c r="W40" s="48"/>
      <c r="X40" s="48" t="s">
        <v>35</v>
      </c>
    </row>
    <row r="41" spans="1:24" x14ac:dyDescent="0.35">
      <c r="A41" s="59">
        <v>40</v>
      </c>
      <c r="B41" s="14" t="s">
        <v>90</v>
      </c>
      <c r="C41" s="60" t="s">
        <v>100</v>
      </c>
      <c r="D41" s="60" t="s">
        <v>92</v>
      </c>
      <c r="E41" s="61" t="s">
        <v>93</v>
      </c>
      <c r="F41" s="61" t="s">
        <v>176</v>
      </c>
      <c r="G41" s="62" t="s">
        <v>177</v>
      </c>
      <c r="H41" s="42">
        <v>1</v>
      </c>
      <c r="I41" s="31">
        <v>500</v>
      </c>
      <c r="J41" s="32">
        <v>911.76470588235293</v>
      </c>
      <c r="K41" s="18">
        <f t="shared" si="4"/>
        <v>1200</v>
      </c>
      <c r="L41" s="20">
        <v>5000</v>
      </c>
      <c r="M41" s="33">
        <f t="shared" si="2"/>
        <v>454.5454545454545</v>
      </c>
      <c r="N41" s="34">
        <f t="shared" si="2"/>
        <v>828.87700534759347</v>
      </c>
      <c r="O41" s="35">
        <f t="shared" si="2"/>
        <v>1090.9090909090908</v>
      </c>
      <c r="P41" s="36">
        <f t="shared" si="2"/>
        <v>4545.454545454545</v>
      </c>
      <c r="Q41" s="63"/>
      <c r="R41" s="64" t="s">
        <v>178</v>
      </c>
      <c r="S41" s="64" t="s">
        <v>178</v>
      </c>
      <c r="T41" s="64"/>
      <c r="U41" s="47"/>
      <c r="V41" s="65">
        <v>1</v>
      </c>
      <c r="W41" s="66"/>
      <c r="X41" s="48" t="s">
        <v>179</v>
      </c>
    </row>
    <row r="42" spans="1:24" ht="57.5" x14ac:dyDescent="0.35">
      <c r="A42" s="13">
        <v>41</v>
      </c>
      <c r="B42" s="14" t="s">
        <v>90</v>
      </c>
      <c r="C42" s="40" t="s">
        <v>100</v>
      </c>
      <c r="D42" s="40" t="s">
        <v>92</v>
      </c>
      <c r="E42" s="28" t="s">
        <v>93</v>
      </c>
      <c r="F42" s="28" t="s">
        <v>176</v>
      </c>
      <c r="G42" s="40" t="s">
        <v>180</v>
      </c>
      <c r="H42" s="42">
        <v>3</v>
      </c>
      <c r="I42" s="31">
        <v>5600</v>
      </c>
      <c r="J42" s="32">
        <v>10211.764705882353</v>
      </c>
      <c r="K42" s="18">
        <f t="shared" si="4"/>
        <v>12400</v>
      </c>
      <c r="L42" s="20">
        <v>18000</v>
      </c>
      <c r="M42" s="33">
        <f t="shared" si="2"/>
        <v>5090.9090909090901</v>
      </c>
      <c r="N42" s="34">
        <f t="shared" si="2"/>
        <v>9283.4224598930468</v>
      </c>
      <c r="O42" s="35">
        <f t="shared" si="2"/>
        <v>11272.727272727272</v>
      </c>
      <c r="P42" s="36">
        <f t="shared" si="2"/>
        <v>16363.636363636362</v>
      </c>
      <c r="Q42" s="44" t="s">
        <v>181</v>
      </c>
      <c r="R42" s="15"/>
      <c r="S42" s="15" t="s">
        <v>182</v>
      </c>
      <c r="T42" s="15" t="s">
        <v>183</v>
      </c>
      <c r="U42" s="47"/>
      <c r="V42" s="38">
        <v>3</v>
      </c>
      <c r="W42" s="48"/>
      <c r="X42" s="48" t="s">
        <v>35</v>
      </c>
    </row>
    <row r="43" spans="1:24" ht="57.5" x14ac:dyDescent="0.35">
      <c r="A43" s="13">
        <v>42</v>
      </c>
      <c r="B43" s="14" t="s">
        <v>90</v>
      </c>
      <c r="C43" s="40" t="s">
        <v>100</v>
      </c>
      <c r="D43" s="40" t="s">
        <v>92</v>
      </c>
      <c r="E43" s="28" t="s">
        <v>93</v>
      </c>
      <c r="F43" s="28" t="s">
        <v>176</v>
      </c>
      <c r="G43" s="40" t="s">
        <v>184</v>
      </c>
      <c r="H43" s="42">
        <v>3</v>
      </c>
      <c r="I43" s="31">
        <v>6600</v>
      </c>
      <c r="J43" s="32">
        <v>12035.294117647059</v>
      </c>
      <c r="K43" s="18">
        <f t="shared" si="4"/>
        <v>14700</v>
      </c>
      <c r="L43" s="20">
        <v>20700</v>
      </c>
      <c r="M43" s="33">
        <f t="shared" si="2"/>
        <v>5999.9999999999991</v>
      </c>
      <c r="N43" s="34">
        <f t="shared" si="2"/>
        <v>10941.176470588234</v>
      </c>
      <c r="O43" s="35">
        <f t="shared" si="2"/>
        <v>13363.636363636362</v>
      </c>
      <c r="P43" s="36">
        <f t="shared" si="2"/>
        <v>18818.181818181816</v>
      </c>
      <c r="Q43" s="44" t="s">
        <v>181</v>
      </c>
      <c r="R43" s="15"/>
      <c r="S43" s="15" t="s">
        <v>182</v>
      </c>
      <c r="T43" s="15" t="s">
        <v>185</v>
      </c>
      <c r="U43" s="47"/>
      <c r="V43" s="38">
        <v>3</v>
      </c>
      <c r="W43" s="48"/>
      <c r="X43" s="48" t="s">
        <v>35</v>
      </c>
    </row>
    <row r="44" spans="1:24" ht="34.5" x14ac:dyDescent="0.35">
      <c r="A44" s="59">
        <v>43</v>
      </c>
      <c r="B44" s="14" t="s">
        <v>90</v>
      </c>
      <c r="C44" s="60" t="s">
        <v>111</v>
      </c>
      <c r="D44" s="67" t="s">
        <v>92</v>
      </c>
      <c r="E44" s="61" t="s">
        <v>93</v>
      </c>
      <c r="F44" s="61" t="s">
        <v>186</v>
      </c>
      <c r="G44" s="60" t="s">
        <v>187</v>
      </c>
      <c r="H44" s="42">
        <v>2</v>
      </c>
      <c r="I44" s="31">
        <v>500</v>
      </c>
      <c r="J44" s="32">
        <v>911.76470588235293</v>
      </c>
      <c r="K44" s="18">
        <f t="shared" si="4"/>
        <v>1200</v>
      </c>
      <c r="L44" s="20">
        <v>5000</v>
      </c>
      <c r="M44" s="33">
        <f t="shared" si="2"/>
        <v>454.5454545454545</v>
      </c>
      <c r="N44" s="34">
        <f t="shared" si="2"/>
        <v>828.87700534759347</v>
      </c>
      <c r="O44" s="35">
        <f t="shared" si="2"/>
        <v>1090.9090909090908</v>
      </c>
      <c r="P44" s="36">
        <f t="shared" si="2"/>
        <v>4545.454545454545</v>
      </c>
      <c r="Q44" s="63" t="s">
        <v>188</v>
      </c>
      <c r="R44" s="64" t="s">
        <v>189</v>
      </c>
      <c r="S44" s="64" t="s">
        <v>189</v>
      </c>
      <c r="T44" s="64"/>
      <c r="U44" s="47"/>
      <c r="V44" s="65">
        <v>2</v>
      </c>
      <c r="W44" s="66"/>
      <c r="X44" s="48" t="s">
        <v>179</v>
      </c>
    </row>
    <row r="45" spans="1:24" ht="69" x14ac:dyDescent="0.35">
      <c r="A45" s="13">
        <v>44</v>
      </c>
      <c r="B45" s="14" t="s">
        <v>90</v>
      </c>
      <c r="C45" s="40" t="s">
        <v>111</v>
      </c>
      <c r="D45" s="29" t="s">
        <v>92</v>
      </c>
      <c r="E45" s="28" t="s">
        <v>93</v>
      </c>
      <c r="F45" s="29" t="s">
        <v>186</v>
      </c>
      <c r="G45" s="40" t="s">
        <v>190</v>
      </c>
      <c r="H45" s="42">
        <v>2</v>
      </c>
      <c r="I45" s="31">
        <v>1000</v>
      </c>
      <c r="J45" s="32">
        <v>1823.5294117647059</v>
      </c>
      <c r="K45" s="18">
        <f t="shared" si="4"/>
        <v>2300</v>
      </c>
      <c r="L45" s="20">
        <v>15000</v>
      </c>
      <c r="M45" s="33">
        <f t="shared" si="2"/>
        <v>909.09090909090901</v>
      </c>
      <c r="N45" s="34">
        <f t="shared" si="2"/>
        <v>1657.7540106951869</v>
      </c>
      <c r="O45" s="35">
        <f t="shared" si="2"/>
        <v>2090.9090909090905</v>
      </c>
      <c r="P45" s="36">
        <f t="shared" si="2"/>
        <v>13636.363636363636</v>
      </c>
      <c r="Q45" s="44" t="s">
        <v>191</v>
      </c>
      <c r="R45" s="15" t="s">
        <v>192</v>
      </c>
      <c r="S45" s="15" t="s">
        <v>193</v>
      </c>
      <c r="T45" s="15" t="s">
        <v>194</v>
      </c>
      <c r="U45" s="47"/>
      <c r="V45" s="38">
        <v>2</v>
      </c>
      <c r="W45" s="48"/>
      <c r="X45" s="56" t="s">
        <v>35</v>
      </c>
    </row>
    <row r="46" spans="1:24" ht="57.5" x14ac:dyDescent="0.35">
      <c r="A46" s="13">
        <v>45</v>
      </c>
      <c r="B46" s="14" t="s">
        <v>90</v>
      </c>
      <c r="C46" s="40" t="s">
        <v>100</v>
      </c>
      <c r="D46" s="40" t="s">
        <v>92</v>
      </c>
      <c r="E46" s="28" t="s">
        <v>93</v>
      </c>
      <c r="F46" s="28" t="s">
        <v>195</v>
      </c>
      <c r="G46" s="40" t="s">
        <v>196</v>
      </c>
      <c r="H46" s="42">
        <v>3</v>
      </c>
      <c r="I46" s="31">
        <v>4900</v>
      </c>
      <c r="J46" s="32">
        <v>8935.2941176470595</v>
      </c>
      <c r="K46" s="18">
        <f t="shared" si="4"/>
        <v>10900</v>
      </c>
      <c r="L46" s="20">
        <v>17000</v>
      </c>
      <c r="M46" s="33">
        <f t="shared" si="2"/>
        <v>4454.545454545454</v>
      </c>
      <c r="N46" s="34">
        <f t="shared" si="2"/>
        <v>8122.9946524064171</v>
      </c>
      <c r="O46" s="35">
        <f t="shared" si="2"/>
        <v>9909.0909090909081</v>
      </c>
      <c r="P46" s="36">
        <f t="shared" si="2"/>
        <v>15454.545454545454</v>
      </c>
      <c r="Q46" s="44" t="s">
        <v>197</v>
      </c>
      <c r="R46" s="15"/>
      <c r="S46" s="15" t="s">
        <v>198</v>
      </c>
      <c r="T46" s="15" t="s">
        <v>199</v>
      </c>
      <c r="U46" s="47"/>
      <c r="V46" s="38">
        <v>3</v>
      </c>
      <c r="W46" s="57"/>
      <c r="X46" s="48" t="s">
        <v>35</v>
      </c>
    </row>
    <row r="47" spans="1:24" ht="57.5" x14ac:dyDescent="0.35">
      <c r="A47" s="13">
        <v>46</v>
      </c>
      <c r="B47" s="14" t="s">
        <v>90</v>
      </c>
      <c r="C47" s="40" t="s">
        <v>100</v>
      </c>
      <c r="D47" s="40" t="s">
        <v>92</v>
      </c>
      <c r="E47" s="28" t="s">
        <v>93</v>
      </c>
      <c r="F47" s="40" t="s">
        <v>200</v>
      </c>
      <c r="G47" s="40" t="s">
        <v>201</v>
      </c>
      <c r="H47" s="42">
        <v>2</v>
      </c>
      <c r="I47" s="31">
        <v>2600</v>
      </c>
      <c r="J47" s="32">
        <v>4741.1764705882351</v>
      </c>
      <c r="K47" s="18">
        <f t="shared" si="4"/>
        <v>5800</v>
      </c>
      <c r="L47" s="20">
        <v>15000</v>
      </c>
      <c r="M47" s="33">
        <f t="shared" si="2"/>
        <v>2363.6363636363635</v>
      </c>
      <c r="N47" s="34">
        <f t="shared" si="2"/>
        <v>4310.1604278074865</v>
      </c>
      <c r="O47" s="35">
        <f t="shared" si="2"/>
        <v>5272.7272727272721</v>
      </c>
      <c r="P47" s="36">
        <f t="shared" si="2"/>
        <v>13636.363636363636</v>
      </c>
      <c r="Q47" s="44" t="s">
        <v>202</v>
      </c>
      <c r="R47" s="15"/>
      <c r="S47" s="15" t="s">
        <v>203</v>
      </c>
      <c r="T47" s="15" t="s">
        <v>204</v>
      </c>
      <c r="U47" s="47"/>
      <c r="V47" s="38">
        <v>2</v>
      </c>
      <c r="W47" s="58"/>
      <c r="X47" s="58" t="s">
        <v>35</v>
      </c>
    </row>
    <row r="48" spans="1:24" ht="103.5" x14ac:dyDescent="0.35">
      <c r="A48" s="13">
        <v>47</v>
      </c>
      <c r="B48" s="14" t="s">
        <v>90</v>
      </c>
      <c r="C48" s="40" t="s">
        <v>100</v>
      </c>
      <c r="D48" s="40" t="s">
        <v>92</v>
      </c>
      <c r="E48" s="28" t="s">
        <v>93</v>
      </c>
      <c r="F48" s="28" t="s">
        <v>205</v>
      </c>
      <c r="G48" s="40" t="s">
        <v>206</v>
      </c>
      <c r="H48" s="42">
        <v>2</v>
      </c>
      <c r="I48" s="31">
        <v>2000</v>
      </c>
      <c r="J48" s="32">
        <v>3647.0588235294117</v>
      </c>
      <c r="K48" s="18">
        <f t="shared" si="4"/>
        <v>4500</v>
      </c>
      <c r="L48" s="20">
        <v>15000</v>
      </c>
      <c r="M48" s="33">
        <f t="shared" si="2"/>
        <v>1818.181818181818</v>
      </c>
      <c r="N48" s="34">
        <f t="shared" si="2"/>
        <v>3315.5080213903739</v>
      </c>
      <c r="O48" s="35">
        <f t="shared" si="2"/>
        <v>4090.9090909090905</v>
      </c>
      <c r="P48" s="36">
        <f t="shared" si="2"/>
        <v>13636.363636363636</v>
      </c>
      <c r="Q48" s="44" t="s">
        <v>207</v>
      </c>
      <c r="R48" s="15" t="s">
        <v>208</v>
      </c>
      <c r="S48" s="15" t="s">
        <v>209</v>
      </c>
      <c r="T48" s="15" t="s">
        <v>210</v>
      </c>
      <c r="U48" s="47"/>
      <c r="V48" s="38">
        <v>2</v>
      </c>
      <c r="W48" s="48"/>
      <c r="X48" s="48" t="s">
        <v>35</v>
      </c>
    </row>
    <row r="49" spans="1:24" ht="46" x14ac:dyDescent="0.35">
      <c r="A49" s="13">
        <v>48</v>
      </c>
      <c r="B49" s="14" t="s">
        <v>90</v>
      </c>
      <c r="C49" s="40" t="s">
        <v>100</v>
      </c>
      <c r="D49" s="40" t="s">
        <v>92</v>
      </c>
      <c r="E49" s="28" t="s">
        <v>93</v>
      </c>
      <c r="F49" s="40" t="s">
        <v>211</v>
      </c>
      <c r="G49" s="40" t="s">
        <v>212</v>
      </c>
      <c r="H49" s="42">
        <v>4</v>
      </c>
      <c r="I49" s="31">
        <v>900</v>
      </c>
      <c r="J49" s="32">
        <v>1641.1764705882354</v>
      </c>
      <c r="K49" s="18">
        <f t="shared" si="4"/>
        <v>2000</v>
      </c>
      <c r="L49" s="20">
        <v>12500</v>
      </c>
      <c r="M49" s="33">
        <f t="shared" si="2"/>
        <v>818.18181818181813</v>
      </c>
      <c r="N49" s="34">
        <f t="shared" si="2"/>
        <v>1491.9786096256685</v>
      </c>
      <c r="O49" s="35">
        <f t="shared" si="2"/>
        <v>1818.181818181818</v>
      </c>
      <c r="P49" s="36">
        <f t="shared" si="2"/>
        <v>11363.636363636362</v>
      </c>
      <c r="Q49" s="44" t="s">
        <v>213</v>
      </c>
      <c r="R49" s="15" t="s">
        <v>214</v>
      </c>
      <c r="S49" s="15" t="s">
        <v>215</v>
      </c>
      <c r="T49" s="15" t="s">
        <v>216</v>
      </c>
      <c r="U49" s="47"/>
      <c r="V49" s="38">
        <v>4</v>
      </c>
      <c r="W49" s="48"/>
      <c r="X49" s="48" t="s">
        <v>35</v>
      </c>
    </row>
    <row r="50" spans="1:24" ht="46" x14ac:dyDescent="0.35">
      <c r="A50" s="13">
        <v>49</v>
      </c>
      <c r="B50" s="14" t="s">
        <v>90</v>
      </c>
      <c r="C50" s="40" t="s">
        <v>100</v>
      </c>
      <c r="D50" s="40" t="s">
        <v>92</v>
      </c>
      <c r="E50" s="28" t="s">
        <v>93</v>
      </c>
      <c r="F50" s="40" t="s">
        <v>211</v>
      </c>
      <c r="G50" s="40" t="s">
        <v>217</v>
      </c>
      <c r="H50" s="42">
        <v>5</v>
      </c>
      <c r="I50" s="31">
        <v>1600</v>
      </c>
      <c r="J50" s="32">
        <v>2917.6470588235293</v>
      </c>
      <c r="K50" s="18">
        <f t="shared" si="4"/>
        <v>3600</v>
      </c>
      <c r="L50" s="20">
        <v>12500</v>
      </c>
      <c r="M50" s="33">
        <f t="shared" si="2"/>
        <v>1454.5454545454545</v>
      </c>
      <c r="N50" s="34">
        <f t="shared" si="2"/>
        <v>2652.4064171122991</v>
      </c>
      <c r="O50" s="35">
        <f t="shared" si="2"/>
        <v>3272.7272727272725</v>
      </c>
      <c r="P50" s="36">
        <f t="shared" si="2"/>
        <v>11363.636363636362</v>
      </c>
      <c r="Q50" s="44" t="s">
        <v>213</v>
      </c>
      <c r="R50" s="15" t="s">
        <v>214</v>
      </c>
      <c r="S50" s="15" t="s">
        <v>218</v>
      </c>
      <c r="T50" s="15" t="s">
        <v>216</v>
      </c>
      <c r="U50" s="47"/>
      <c r="V50" s="38">
        <v>5</v>
      </c>
      <c r="W50" s="48"/>
      <c r="X50" s="52" t="s">
        <v>35</v>
      </c>
    </row>
    <row r="51" spans="1:24" ht="46" x14ac:dyDescent="0.35">
      <c r="A51" s="13">
        <v>50</v>
      </c>
      <c r="B51" s="14" t="s">
        <v>90</v>
      </c>
      <c r="C51" s="40" t="s">
        <v>100</v>
      </c>
      <c r="D51" s="40" t="s">
        <v>92</v>
      </c>
      <c r="E51" s="28" t="s">
        <v>93</v>
      </c>
      <c r="F51" s="40" t="s">
        <v>211</v>
      </c>
      <c r="G51" s="40" t="s">
        <v>219</v>
      </c>
      <c r="H51" s="42">
        <v>7</v>
      </c>
      <c r="I51" s="31">
        <v>2100</v>
      </c>
      <c r="J51" s="32">
        <v>3829.4117647058824</v>
      </c>
      <c r="K51" s="18">
        <f t="shared" si="4"/>
        <v>4700</v>
      </c>
      <c r="L51" s="20">
        <v>12500</v>
      </c>
      <c r="M51" s="33">
        <f t="shared" si="2"/>
        <v>1909.090909090909</v>
      </c>
      <c r="N51" s="34">
        <f t="shared" si="2"/>
        <v>3481.2834224598928</v>
      </c>
      <c r="O51" s="35">
        <f t="shared" si="2"/>
        <v>4272.7272727272721</v>
      </c>
      <c r="P51" s="36">
        <f t="shared" si="2"/>
        <v>11363.636363636362</v>
      </c>
      <c r="Q51" s="44" t="s">
        <v>213</v>
      </c>
      <c r="R51" s="15" t="s">
        <v>214</v>
      </c>
      <c r="S51" s="15" t="s">
        <v>220</v>
      </c>
      <c r="T51" s="15" t="s">
        <v>216</v>
      </c>
      <c r="U51" s="47"/>
      <c r="V51" s="38">
        <v>7</v>
      </c>
      <c r="W51" s="48"/>
      <c r="X51" s="52" t="s">
        <v>35</v>
      </c>
    </row>
    <row r="52" spans="1:24" x14ac:dyDescent="0.35">
      <c r="A52" s="59">
        <v>51</v>
      </c>
      <c r="B52" s="14" t="s">
        <v>90</v>
      </c>
      <c r="C52" s="60" t="s">
        <v>100</v>
      </c>
      <c r="D52" s="60" t="s">
        <v>92</v>
      </c>
      <c r="E52" s="61" t="s">
        <v>93</v>
      </c>
      <c r="F52" s="60" t="s">
        <v>221</v>
      </c>
      <c r="G52" s="60" t="s">
        <v>222</v>
      </c>
      <c r="H52" s="42">
        <v>2</v>
      </c>
      <c r="I52" s="31">
        <v>1600</v>
      </c>
      <c r="J52" s="32">
        <v>2917.6470588235293</v>
      </c>
      <c r="K52" s="18">
        <f t="shared" si="4"/>
        <v>3600</v>
      </c>
      <c r="L52" s="20">
        <v>12500</v>
      </c>
      <c r="M52" s="33">
        <f t="shared" si="2"/>
        <v>1454.5454545454545</v>
      </c>
      <c r="N52" s="34">
        <f t="shared" si="2"/>
        <v>2652.4064171122991</v>
      </c>
      <c r="O52" s="35">
        <f t="shared" si="2"/>
        <v>3272.7272727272725</v>
      </c>
      <c r="P52" s="36">
        <f t="shared" si="2"/>
        <v>11363.636363636362</v>
      </c>
      <c r="Q52" s="63"/>
      <c r="R52" s="64" t="s">
        <v>223</v>
      </c>
      <c r="S52" s="64" t="s">
        <v>223</v>
      </c>
      <c r="T52" s="64"/>
      <c r="U52" s="47"/>
      <c r="V52" s="65">
        <v>2</v>
      </c>
      <c r="W52" s="66"/>
      <c r="X52" s="52" t="s">
        <v>179</v>
      </c>
    </row>
    <row r="53" spans="1:24" ht="57.5" x14ac:dyDescent="0.35">
      <c r="A53" s="13">
        <v>52</v>
      </c>
      <c r="B53" s="14" t="s">
        <v>90</v>
      </c>
      <c r="C53" s="40" t="s">
        <v>100</v>
      </c>
      <c r="D53" s="40" t="s">
        <v>92</v>
      </c>
      <c r="E53" s="28" t="s">
        <v>93</v>
      </c>
      <c r="F53" s="40" t="s">
        <v>221</v>
      </c>
      <c r="G53" s="40" t="s">
        <v>224</v>
      </c>
      <c r="H53" s="42">
        <v>2</v>
      </c>
      <c r="I53" s="31">
        <v>2300</v>
      </c>
      <c r="J53" s="32">
        <v>4194.1176470588234</v>
      </c>
      <c r="K53" s="18">
        <f t="shared" si="4"/>
        <v>5100</v>
      </c>
      <c r="L53" s="20">
        <v>15000</v>
      </c>
      <c r="M53" s="33">
        <f t="shared" si="2"/>
        <v>2090.9090909090905</v>
      </c>
      <c r="N53" s="34">
        <f t="shared" si="2"/>
        <v>3812.8342245989302</v>
      </c>
      <c r="O53" s="35">
        <f t="shared" si="2"/>
        <v>4636.363636363636</v>
      </c>
      <c r="P53" s="36">
        <f t="shared" si="2"/>
        <v>13636.363636363636</v>
      </c>
      <c r="Q53" s="44" t="s">
        <v>225</v>
      </c>
      <c r="R53" s="15" t="s">
        <v>226</v>
      </c>
      <c r="S53" s="15" t="s">
        <v>227</v>
      </c>
      <c r="T53" s="15" t="s">
        <v>228</v>
      </c>
      <c r="U53" s="47"/>
      <c r="V53" s="38">
        <v>2</v>
      </c>
      <c r="W53" s="48"/>
      <c r="X53" s="52" t="s">
        <v>35</v>
      </c>
    </row>
    <row r="54" spans="1:24" ht="34.5" x14ac:dyDescent="0.35">
      <c r="A54" s="68">
        <v>53</v>
      </c>
      <c r="B54" s="69" t="s">
        <v>90</v>
      </c>
      <c r="C54" s="70" t="s">
        <v>100</v>
      </c>
      <c r="D54" s="70" t="s">
        <v>92</v>
      </c>
      <c r="E54" s="71" t="s">
        <v>93</v>
      </c>
      <c r="F54" s="71" t="s">
        <v>229</v>
      </c>
      <c r="G54" s="72" t="s">
        <v>230</v>
      </c>
      <c r="H54" s="73">
        <v>3</v>
      </c>
      <c r="I54" s="74">
        <v>1700</v>
      </c>
      <c r="J54" s="75">
        <v>3100</v>
      </c>
      <c r="K54" s="76">
        <f t="shared" si="4"/>
        <v>3800</v>
      </c>
      <c r="L54" s="77">
        <v>15000</v>
      </c>
      <c r="M54" s="78">
        <f t="shared" si="2"/>
        <v>1545.4545454545453</v>
      </c>
      <c r="N54" s="79">
        <f t="shared" si="2"/>
        <v>2818.181818181818</v>
      </c>
      <c r="O54" s="80">
        <f t="shared" si="2"/>
        <v>3454.545454545454</v>
      </c>
      <c r="P54" s="81">
        <f t="shared" si="2"/>
        <v>13636.363636363636</v>
      </c>
      <c r="Q54" s="82" t="s">
        <v>231</v>
      </c>
      <c r="R54" s="83"/>
      <c r="S54" s="83"/>
      <c r="T54" s="83"/>
      <c r="U54" s="84"/>
      <c r="V54" s="85">
        <v>3</v>
      </c>
      <c r="W54" s="86"/>
      <c r="X54" s="87" t="s">
        <v>179</v>
      </c>
    </row>
    <row r="55" spans="1:24" ht="92" x14ac:dyDescent="0.35">
      <c r="A55" s="68">
        <v>54</v>
      </c>
      <c r="B55" s="69" t="s">
        <v>90</v>
      </c>
      <c r="C55" s="70" t="s">
        <v>100</v>
      </c>
      <c r="D55" s="70" t="s">
        <v>92</v>
      </c>
      <c r="E55" s="71" t="s">
        <v>93</v>
      </c>
      <c r="F55" s="70" t="s">
        <v>27</v>
      </c>
      <c r="G55" s="70" t="s">
        <v>232</v>
      </c>
      <c r="H55" s="73">
        <v>2</v>
      </c>
      <c r="I55" s="74">
        <v>1400</v>
      </c>
      <c r="J55" s="75">
        <v>2552.9411764705883</v>
      </c>
      <c r="K55" s="76">
        <f t="shared" si="4"/>
        <v>3100</v>
      </c>
      <c r="L55" s="77">
        <v>10000</v>
      </c>
      <c r="M55" s="78">
        <f t="shared" si="2"/>
        <v>1272.7272727272725</v>
      </c>
      <c r="N55" s="79">
        <f t="shared" si="2"/>
        <v>2320.8556149732617</v>
      </c>
      <c r="O55" s="80">
        <f t="shared" si="2"/>
        <v>2818.181818181818</v>
      </c>
      <c r="P55" s="81">
        <f t="shared" si="2"/>
        <v>9090.9090909090901</v>
      </c>
      <c r="Q55" s="82" t="s">
        <v>233</v>
      </c>
      <c r="R55" s="83" t="s">
        <v>234</v>
      </c>
      <c r="S55" s="83" t="s">
        <v>235</v>
      </c>
      <c r="T55" s="83" t="s">
        <v>236</v>
      </c>
      <c r="U55" s="84"/>
      <c r="V55" s="85">
        <v>2</v>
      </c>
      <c r="W55" s="86"/>
      <c r="X55" s="88" t="s">
        <v>179</v>
      </c>
    </row>
    <row r="56" spans="1:24" ht="57.5" x14ac:dyDescent="0.35">
      <c r="A56" s="13">
        <v>55</v>
      </c>
      <c r="B56" s="14" t="s">
        <v>90</v>
      </c>
      <c r="C56" s="40" t="s">
        <v>100</v>
      </c>
      <c r="D56" s="40" t="s">
        <v>92</v>
      </c>
      <c r="E56" s="28" t="s">
        <v>93</v>
      </c>
      <c r="F56" s="28" t="s">
        <v>237</v>
      </c>
      <c r="G56" s="40" t="s">
        <v>238</v>
      </c>
      <c r="H56" s="42">
        <v>3</v>
      </c>
      <c r="I56" s="31">
        <v>4400</v>
      </c>
      <c r="J56" s="32">
        <v>8023.5294117647063</v>
      </c>
      <c r="K56" s="18">
        <f t="shared" si="4"/>
        <v>9800</v>
      </c>
      <c r="L56" s="20">
        <v>20000</v>
      </c>
      <c r="M56" s="33">
        <f t="shared" si="2"/>
        <v>3999.9999999999995</v>
      </c>
      <c r="N56" s="34">
        <f t="shared" si="2"/>
        <v>7294.1176470588234</v>
      </c>
      <c r="O56" s="35">
        <f t="shared" si="2"/>
        <v>8909.0909090909081</v>
      </c>
      <c r="P56" s="36">
        <f t="shared" si="2"/>
        <v>18181.81818181818</v>
      </c>
      <c r="Q56" s="44" t="s">
        <v>239</v>
      </c>
      <c r="R56" s="15"/>
      <c r="S56" s="15" t="s">
        <v>240</v>
      </c>
      <c r="T56" s="15"/>
      <c r="U56" s="47"/>
      <c r="V56" s="38">
        <v>3</v>
      </c>
      <c r="W56" s="57"/>
      <c r="X56" s="89" t="s">
        <v>35</v>
      </c>
    </row>
    <row r="57" spans="1:24" ht="34.5" x14ac:dyDescent="0.35">
      <c r="A57" s="13">
        <v>56</v>
      </c>
      <c r="B57" s="14" t="s">
        <v>90</v>
      </c>
      <c r="C57" s="40" t="s">
        <v>100</v>
      </c>
      <c r="D57" s="40" t="s">
        <v>92</v>
      </c>
      <c r="E57" s="28" t="s">
        <v>241</v>
      </c>
      <c r="F57" s="29" t="s">
        <v>118</v>
      </c>
      <c r="G57" s="28" t="s">
        <v>242</v>
      </c>
      <c r="H57" s="42">
        <v>2</v>
      </c>
      <c r="I57" s="31">
        <v>2000</v>
      </c>
      <c r="J57" s="32">
        <v>3647.0588235294117</v>
      </c>
      <c r="K57" s="18">
        <f t="shared" si="4"/>
        <v>4500</v>
      </c>
      <c r="L57" s="20">
        <v>11200</v>
      </c>
      <c r="M57" s="33">
        <f t="shared" si="2"/>
        <v>1818.181818181818</v>
      </c>
      <c r="N57" s="34">
        <f t="shared" si="2"/>
        <v>3315.5080213903739</v>
      </c>
      <c r="O57" s="35">
        <f t="shared" si="2"/>
        <v>4090.9090909090905</v>
      </c>
      <c r="P57" s="36">
        <f t="shared" si="2"/>
        <v>10181.81818181818</v>
      </c>
      <c r="Q57" s="44" t="s">
        <v>243</v>
      </c>
      <c r="R57" s="15" t="s">
        <v>244</v>
      </c>
      <c r="S57" s="15" t="s">
        <v>244</v>
      </c>
      <c r="T57" s="15" t="s">
        <v>244</v>
      </c>
      <c r="U57" s="47"/>
      <c r="V57" s="38">
        <v>2</v>
      </c>
      <c r="W57" s="57"/>
      <c r="X57" s="89" t="s">
        <v>35</v>
      </c>
    </row>
    <row r="58" spans="1:24" x14ac:dyDescent="0.35">
      <c r="A58" s="13">
        <v>57</v>
      </c>
      <c r="B58" s="14" t="s">
        <v>90</v>
      </c>
      <c r="C58" s="40" t="s">
        <v>100</v>
      </c>
      <c r="D58" s="40" t="s">
        <v>92</v>
      </c>
      <c r="E58" s="28" t="s">
        <v>93</v>
      </c>
      <c r="F58" s="28" t="s">
        <v>245</v>
      </c>
      <c r="G58" s="40" t="s">
        <v>246</v>
      </c>
      <c r="H58" s="42">
        <v>1</v>
      </c>
      <c r="I58" s="31">
        <v>1700</v>
      </c>
      <c r="J58" s="32">
        <v>3100</v>
      </c>
      <c r="K58" s="18">
        <f t="shared" si="4"/>
        <v>3800</v>
      </c>
      <c r="L58" s="20">
        <v>9500</v>
      </c>
      <c r="M58" s="33">
        <f t="shared" si="2"/>
        <v>1545.4545454545453</v>
      </c>
      <c r="N58" s="34">
        <f t="shared" si="2"/>
        <v>2818.181818181818</v>
      </c>
      <c r="O58" s="35">
        <f t="shared" si="2"/>
        <v>3454.545454545454</v>
      </c>
      <c r="P58" s="36">
        <f t="shared" si="2"/>
        <v>8636.363636363636</v>
      </c>
      <c r="Q58" s="44"/>
      <c r="R58" s="15" t="s">
        <v>244</v>
      </c>
      <c r="S58" s="15" t="s">
        <v>244</v>
      </c>
      <c r="T58" s="15" t="s">
        <v>244</v>
      </c>
      <c r="U58" s="47"/>
      <c r="V58" s="38">
        <v>1</v>
      </c>
      <c r="W58" s="57"/>
      <c r="X58" s="89" t="s">
        <v>35</v>
      </c>
    </row>
    <row r="59" spans="1:24" ht="80.5" x14ac:dyDescent="0.35">
      <c r="A59" s="13">
        <v>58</v>
      </c>
      <c r="B59" s="14" t="s">
        <v>90</v>
      </c>
      <c r="C59" s="40" t="s">
        <v>100</v>
      </c>
      <c r="D59" s="40" t="s">
        <v>92</v>
      </c>
      <c r="E59" s="28" t="s">
        <v>93</v>
      </c>
      <c r="F59" s="40" t="s">
        <v>221</v>
      </c>
      <c r="G59" s="40" t="s">
        <v>247</v>
      </c>
      <c r="H59" s="42">
        <v>1</v>
      </c>
      <c r="I59" s="31">
        <v>3200</v>
      </c>
      <c r="J59" s="32">
        <v>5835.2941176470586</v>
      </c>
      <c r="K59" s="18">
        <f t="shared" si="4"/>
        <v>7100</v>
      </c>
      <c r="L59" s="20">
        <v>14300</v>
      </c>
      <c r="M59" s="33">
        <f t="shared" si="2"/>
        <v>2909.090909090909</v>
      </c>
      <c r="N59" s="34">
        <f t="shared" si="2"/>
        <v>5304.8128342245982</v>
      </c>
      <c r="O59" s="35">
        <f t="shared" si="2"/>
        <v>6454.545454545454</v>
      </c>
      <c r="P59" s="36">
        <f t="shared" si="2"/>
        <v>12999.999999999998</v>
      </c>
      <c r="Q59" s="44" t="s">
        <v>248</v>
      </c>
      <c r="R59" s="15" t="s">
        <v>249</v>
      </c>
      <c r="S59" s="15" t="s">
        <v>250</v>
      </c>
      <c r="T59" s="15" t="s">
        <v>251</v>
      </c>
      <c r="U59" s="47"/>
      <c r="V59" s="38">
        <v>1</v>
      </c>
      <c r="W59" s="48"/>
      <c r="X59" s="89" t="s">
        <v>35</v>
      </c>
    </row>
    <row r="60" spans="1:24" ht="57.5" x14ac:dyDescent="0.35">
      <c r="A60" s="13">
        <v>59</v>
      </c>
      <c r="B60" s="14" t="s">
        <v>90</v>
      </c>
      <c r="C60" s="40" t="s">
        <v>100</v>
      </c>
      <c r="D60" s="40" t="s">
        <v>92</v>
      </c>
      <c r="E60" s="28" t="s">
        <v>93</v>
      </c>
      <c r="F60" s="15" t="s">
        <v>252</v>
      </c>
      <c r="G60" s="40" t="s">
        <v>253</v>
      </c>
      <c r="H60" s="42">
        <v>2</v>
      </c>
      <c r="I60" s="31">
        <v>1200</v>
      </c>
      <c r="J60" s="32">
        <v>2188.2352941176473</v>
      </c>
      <c r="K60" s="18">
        <f t="shared" si="4"/>
        <v>2700</v>
      </c>
      <c r="L60" s="20">
        <v>6700</v>
      </c>
      <c r="M60" s="33">
        <f t="shared" si="2"/>
        <v>1090.9090909090908</v>
      </c>
      <c r="N60" s="34">
        <f t="shared" si="2"/>
        <v>1989.3048128342245</v>
      </c>
      <c r="O60" s="35">
        <f t="shared" si="2"/>
        <v>2454.5454545454545</v>
      </c>
      <c r="P60" s="36">
        <f t="shared" si="2"/>
        <v>6090.9090909090901</v>
      </c>
      <c r="Q60" s="90" t="s">
        <v>248</v>
      </c>
      <c r="R60" s="15" t="s">
        <v>254</v>
      </c>
      <c r="S60" s="15" t="s">
        <v>255</v>
      </c>
      <c r="T60" s="15" t="s">
        <v>256</v>
      </c>
      <c r="U60" s="47"/>
      <c r="V60" s="38">
        <v>2</v>
      </c>
      <c r="W60" s="48"/>
      <c r="X60" s="52" t="s">
        <v>35</v>
      </c>
    </row>
    <row r="61" spans="1:24" ht="80.5" x14ac:dyDescent="0.35">
      <c r="A61" s="13">
        <v>60</v>
      </c>
      <c r="B61" s="14" t="s">
        <v>90</v>
      </c>
      <c r="C61" s="40" t="s">
        <v>100</v>
      </c>
      <c r="D61" s="40" t="s">
        <v>92</v>
      </c>
      <c r="E61" s="28" t="s">
        <v>93</v>
      </c>
      <c r="F61" s="40" t="s">
        <v>257</v>
      </c>
      <c r="G61" s="40" t="s">
        <v>258</v>
      </c>
      <c r="H61" s="42">
        <v>2</v>
      </c>
      <c r="I61" s="31">
        <v>800</v>
      </c>
      <c r="J61" s="32">
        <v>1458.8235294117646</v>
      </c>
      <c r="K61" s="18">
        <f t="shared" si="4"/>
        <v>1800</v>
      </c>
      <c r="L61" s="20">
        <v>4500</v>
      </c>
      <c r="M61" s="33">
        <f t="shared" si="2"/>
        <v>727.27272727272725</v>
      </c>
      <c r="N61" s="34">
        <f t="shared" si="2"/>
        <v>1326.2032085561495</v>
      </c>
      <c r="O61" s="35">
        <f t="shared" si="2"/>
        <v>1636.3636363636363</v>
      </c>
      <c r="P61" s="36">
        <f t="shared" si="2"/>
        <v>4090.9090909090905</v>
      </c>
      <c r="Q61" s="44" t="s">
        <v>259</v>
      </c>
      <c r="R61" s="15" t="s">
        <v>260</v>
      </c>
      <c r="S61" s="15" t="s">
        <v>261</v>
      </c>
      <c r="T61" s="15" t="s">
        <v>262</v>
      </c>
      <c r="U61" s="47"/>
      <c r="V61" s="38">
        <v>2</v>
      </c>
      <c r="W61" s="48"/>
      <c r="X61" s="52" t="s">
        <v>35</v>
      </c>
    </row>
    <row r="62" spans="1:24" ht="57.5" x14ac:dyDescent="0.35">
      <c r="A62" s="13">
        <v>61</v>
      </c>
      <c r="B62" s="14" t="s">
        <v>90</v>
      </c>
      <c r="C62" s="40" t="s">
        <v>100</v>
      </c>
      <c r="D62" s="40" t="s">
        <v>92</v>
      </c>
      <c r="E62" s="28" t="s">
        <v>93</v>
      </c>
      <c r="F62" s="28" t="s">
        <v>263</v>
      </c>
      <c r="G62" s="40" t="s">
        <v>264</v>
      </c>
      <c r="H62" s="42">
        <v>2</v>
      </c>
      <c r="I62" s="31">
        <v>900</v>
      </c>
      <c r="J62" s="32">
        <v>1641.1764705882354</v>
      </c>
      <c r="K62" s="18">
        <f t="shared" si="4"/>
        <v>2000</v>
      </c>
      <c r="L62" s="20">
        <v>5000</v>
      </c>
      <c r="M62" s="33">
        <f t="shared" si="2"/>
        <v>818.18181818181813</v>
      </c>
      <c r="N62" s="34">
        <f t="shared" si="2"/>
        <v>1491.9786096256685</v>
      </c>
      <c r="O62" s="35">
        <f t="shared" si="2"/>
        <v>1818.181818181818</v>
      </c>
      <c r="P62" s="36">
        <f t="shared" si="2"/>
        <v>4545.454545454545</v>
      </c>
      <c r="Q62" s="44" t="s">
        <v>265</v>
      </c>
      <c r="R62" s="15" t="s">
        <v>266</v>
      </c>
      <c r="S62" s="15" t="s">
        <v>267</v>
      </c>
      <c r="T62" s="15" t="s">
        <v>268</v>
      </c>
      <c r="U62" s="47"/>
      <c r="V62" s="38">
        <v>2</v>
      </c>
      <c r="W62" s="48"/>
      <c r="X62" s="52" t="s">
        <v>35</v>
      </c>
    </row>
    <row r="63" spans="1:24" ht="69" x14ac:dyDescent="0.35">
      <c r="A63" s="13">
        <v>62</v>
      </c>
      <c r="B63" s="14" t="s">
        <v>90</v>
      </c>
      <c r="C63" s="40" t="s">
        <v>100</v>
      </c>
      <c r="D63" s="40" t="s">
        <v>92</v>
      </c>
      <c r="E63" s="28" t="s">
        <v>93</v>
      </c>
      <c r="F63" s="28" t="s">
        <v>158</v>
      </c>
      <c r="G63" s="40" t="s">
        <v>269</v>
      </c>
      <c r="H63" s="42">
        <v>2</v>
      </c>
      <c r="I63" s="31">
        <v>1400</v>
      </c>
      <c r="J63" s="32">
        <v>2552.9411764705883</v>
      </c>
      <c r="K63" s="18">
        <f t="shared" si="4"/>
        <v>3100</v>
      </c>
      <c r="L63" s="20">
        <v>7800</v>
      </c>
      <c r="M63" s="33">
        <f t="shared" si="2"/>
        <v>1272.7272727272725</v>
      </c>
      <c r="N63" s="34">
        <f t="shared" si="2"/>
        <v>2320.8556149732617</v>
      </c>
      <c r="O63" s="35">
        <f t="shared" si="2"/>
        <v>2818.181818181818</v>
      </c>
      <c r="P63" s="36">
        <f t="shared" si="2"/>
        <v>7090.9090909090901</v>
      </c>
      <c r="Q63" s="91" t="s">
        <v>270</v>
      </c>
      <c r="R63" s="15"/>
      <c r="S63" s="15" t="s">
        <v>271</v>
      </c>
      <c r="T63" s="15" t="s">
        <v>272</v>
      </c>
      <c r="U63" s="47"/>
      <c r="V63" s="38">
        <v>2</v>
      </c>
      <c r="W63" s="48"/>
      <c r="X63" s="52" t="s">
        <v>35</v>
      </c>
    </row>
    <row r="64" spans="1:24" ht="115" x14ac:dyDescent="0.35">
      <c r="A64" s="13">
        <v>63</v>
      </c>
      <c r="B64" s="14" t="s">
        <v>90</v>
      </c>
      <c r="C64" s="40" t="s">
        <v>100</v>
      </c>
      <c r="D64" s="40" t="s">
        <v>273</v>
      </c>
      <c r="E64" s="28" t="s">
        <v>93</v>
      </c>
      <c r="F64" s="40" t="s">
        <v>274</v>
      </c>
      <c r="G64" s="40" t="s">
        <v>275</v>
      </c>
      <c r="H64" s="42">
        <v>12</v>
      </c>
      <c r="I64" s="31">
        <f>M64*1.1</f>
        <v>2999.7000000000003</v>
      </c>
      <c r="J64" s="32">
        <f>N64*1.1</f>
        <v>6700.1</v>
      </c>
      <c r="K64" s="18">
        <v>6700.1</v>
      </c>
      <c r="L64" s="20">
        <v>6700.1</v>
      </c>
      <c r="M64" s="33">
        <v>2727</v>
      </c>
      <c r="N64" s="34">
        <v>6091</v>
      </c>
      <c r="O64" s="35">
        <v>6091</v>
      </c>
      <c r="P64" s="36">
        <v>6091</v>
      </c>
      <c r="Q64" s="44" t="s">
        <v>276</v>
      </c>
      <c r="R64" s="15" t="s">
        <v>277</v>
      </c>
      <c r="S64" s="15" t="s">
        <v>278</v>
      </c>
      <c r="T64" s="15" t="s">
        <v>279</v>
      </c>
      <c r="U64" s="47"/>
      <c r="V64" s="38">
        <v>12</v>
      </c>
      <c r="W64" s="48"/>
      <c r="X64" s="52" t="s">
        <v>35</v>
      </c>
    </row>
    <row r="65" spans="1:24" ht="57.5" x14ac:dyDescent="0.35">
      <c r="A65" s="13">
        <v>64</v>
      </c>
      <c r="B65" s="14" t="s">
        <v>90</v>
      </c>
      <c r="C65" s="40" t="s">
        <v>100</v>
      </c>
      <c r="D65" s="40" t="s">
        <v>92</v>
      </c>
      <c r="E65" s="28" t="s">
        <v>93</v>
      </c>
      <c r="F65" s="28" t="s">
        <v>229</v>
      </c>
      <c r="G65" s="40" t="s">
        <v>280</v>
      </c>
      <c r="H65" s="42">
        <v>2</v>
      </c>
      <c r="I65" s="31">
        <v>1600</v>
      </c>
      <c r="J65" s="32">
        <v>2917.6470588235293</v>
      </c>
      <c r="K65" s="18">
        <f t="shared" si="4"/>
        <v>3600</v>
      </c>
      <c r="L65" s="20">
        <v>8900</v>
      </c>
      <c r="M65" s="33">
        <f t="shared" si="2"/>
        <v>1454.5454545454545</v>
      </c>
      <c r="N65" s="34">
        <f t="shared" si="2"/>
        <v>2652.4064171122991</v>
      </c>
      <c r="O65" s="35">
        <f t="shared" si="2"/>
        <v>3272.7272727272725</v>
      </c>
      <c r="P65" s="36">
        <f t="shared" si="2"/>
        <v>8090.9090909090901</v>
      </c>
      <c r="Q65" s="44" t="s">
        <v>281</v>
      </c>
      <c r="R65" s="15" t="s">
        <v>282</v>
      </c>
      <c r="S65" s="15" t="s">
        <v>283</v>
      </c>
      <c r="T65" s="15" t="s">
        <v>284</v>
      </c>
      <c r="U65" s="47"/>
      <c r="V65" s="38">
        <v>2</v>
      </c>
      <c r="W65" s="48"/>
      <c r="X65" s="52" t="s">
        <v>35</v>
      </c>
    </row>
    <row r="66" spans="1:24" ht="80.5" x14ac:dyDescent="0.35">
      <c r="A66" s="13">
        <v>65</v>
      </c>
      <c r="B66" s="14" t="s">
        <v>90</v>
      </c>
      <c r="C66" s="40" t="s">
        <v>100</v>
      </c>
      <c r="D66" s="40" t="s">
        <v>92</v>
      </c>
      <c r="E66" s="28" t="s">
        <v>93</v>
      </c>
      <c r="F66" s="28" t="s">
        <v>229</v>
      </c>
      <c r="G66" s="40" t="s">
        <v>285</v>
      </c>
      <c r="H66" s="42">
        <v>2</v>
      </c>
      <c r="I66" s="31">
        <v>1600</v>
      </c>
      <c r="J66" s="32">
        <v>2917.6470588235293</v>
      </c>
      <c r="K66" s="18">
        <f t="shared" si="4"/>
        <v>3600</v>
      </c>
      <c r="L66" s="20">
        <v>8900</v>
      </c>
      <c r="M66" s="33">
        <f t="shared" si="2"/>
        <v>1454.5454545454545</v>
      </c>
      <c r="N66" s="34">
        <f t="shared" si="2"/>
        <v>2652.4064171122991</v>
      </c>
      <c r="O66" s="35">
        <f t="shared" si="2"/>
        <v>3272.7272727272725</v>
      </c>
      <c r="P66" s="36">
        <f t="shared" si="2"/>
        <v>8090.9090909090901</v>
      </c>
      <c r="Q66" s="44" t="s">
        <v>286</v>
      </c>
      <c r="R66" s="15" t="s">
        <v>282</v>
      </c>
      <c r="S66" s="15" t="s">
        <v>287</v>
      </c>
      <c r="T66" s="15" t="s">
        <v>288</v>
      </c>
      <c r="U66" s="47"/>
      <c r="V66" s="38">
        <v>2</v>
      </c>
      <c r="W66" s="48"/>
      <c r="X66" s="52" t="s">
        <v>35</v>
      </c>
    </row>
    <row r="67" spans="1:24" ht="69" x14ac:dyDescent="0.35">
      <c r="A67" s="13">
        <v>66</v>
      </c>
      <c r="B67" s="14" t="s">
        <v>90</v>
      </c>
      <c r="C67" s="40" t="s">
        <v>100</v>
      </c>
      <c r="D67" s="40" t="s">
        <v>92</v>
      </c>
      <c r="E67" s="28" t="s">
        <v>93</v>
      </c>
      <c r="F67" s="28" t="s">
        <v>229</v>
      </c>
      <c r="G67" s="40" t="s">
        <v>289</v>
      </c>
      <c r="H67" s="42">
        <v>2</v>
      </c>
      <c r="I67" s="31">
        <v>1000</v>
      </c>
      <c r="J67" s="32">
        <v>1823.5294117647059</v>
      </c>
      <c r="K67" s="18">
        <f t="shared" si="4"/>
        <v>2300</v>
      </c>
      <c r="L67" s="20">
        <v>5600</v>
      </c>
      <c r="M67" s="33">
        <f t="shared" ref="M67:P95" si="5">I67/1.1</f>
        <v>909.09090909090901</v>
      </c>
      <c r="N67" s="34">
        <f t="shared" si="5"/>
        <v>1657.7540106951869</v>
      </c>
      <c r="O67" s="35">
        <f t="shared" si="5"/>
        <v>2090.9090909090905</v>
      </c>
      <c r="P67" s="36">
        <f t="shared" si="5"/>
        <v>5090.9090909090901</v>
      </c>
      <c r="Q67" s="44" t="s">
        <v>290</v>
      </c>
      <c r="R67" s="15" t="s">
        <v>291</v>
      </c>
      <c r="S67" s="15" t="s">
        <v>292</v>
      </c>
      <c r="T67" s="15" t="s">
        <v>288</v>
      </c>
      <c r="U67" s="47"/>
      <c r="V67" s="38">
        <v>2</v>
      </c>
      <c r="W67" s="48"/>
      <c r="X67" s="92" t="s">
        <v>35</v>
      </c>
    </row>
    <row r="68" spans="1:24" ht="69" x14ac:dyDescent="0.35">
      <c r="A68" s="13">
        <v>67</v>
      </c>
      <c r="B68" s="14" t="s">
        <v>90</v>
      </c>
      <c r="C68" s="40" t="s">
        <v>100</v>
      </c>
      <c r="D68" s="40" t="s">
        <v>92</v>
      </c>
      <c r="E68" s="28" t="s">
        <v>117</v>
      </c>
      <c r="F68" s="28" t="s">
        <v>257</v>
      </c>
      <c r="G68" s="40" t="s">
        <v>293</v>
      </c>
      <c r="H68" s="42">
        <v>2</v>
      </c>
      <c r="I68" s="31">
        <v>3300</v>
      </c>
      <c r="J68" s="32">
        <v>6017.6470588235297</v>
      </c>
      <c r="K68" s="18">
        <f t="shared" si="4"/>
        <v>7400</v>
      </c>
      <c r="L68" s="20">
        <v>18400</v>
      </c>
      <c r="M68" s="33">
        <f t="shared" si="5"/>
        <v>2999.9999999999995</v>
      </c>
      <c r="N68" s="34">
        <f t="shared" si="5"/>
        <v>5470.5882352941171</v>
      </c>
      <c r="O68" s="35">
        <f t="shared" si="5"/>
        <v>6727.272727272727</v>
      </c>
      <c r="P68" s="36">
        <f t="shared" si="5"/>
        <v>16727.272727272724</v>
      </c>
      <c r="Q68" s="44" t="s">
        <v>294</v>
      </c>
      <c r="R68" s="15"/>
      <c r="S68" s="15" t="s">
        <v>295</v>
      </c>
      <c r="T68" s="15" t="s">
        <v>296</v>
      </c>
      <c r="U68" s="47"/>
      <c r="V68" s="93"/>
      <c r="W68" s="94"/>
      <c r="X68" s="92" t="s">
        <v>35</v>
      </c>
    </row>
    <row r="69" spans="1:24" ht="34.5" x14ac:dyDescent="0.35">
      <c r="A69" s="13">
        <v>68</v>
      </c>
      <c r="B69" s="14" t="s">
        <v>23</v>
      </c>
      <c r="C69" s="40" t="s">
        <v>81</v>
      </c>
      <c r="D69" s="40" t="s">
        <v>273</v>
      </c>
      <c r="E69" s="15" t="s">
        <v>59</v>
      </c>
      <c r="F69" s="40" t="s">
        <v>221</v>
      </c>
      <c r="G69" s="15" t="s">
        <v>297</v>
      </c>
      <c r="H69" s="42">
        <v>3</v>
      </c>
      <c r="I69" s="31"/>
      <c r="J69" s="32"/>
      <c r="K69" s="31"/>
      <c r="L69" s="20"/>
      <c r="M69" s="33">
        <f t="shared" si="5"/>
        <v>0</v>
      </c>
      <c r="N69" s="34">
        <f t="shared" si="5"/>
        <v>0</v>
      </c>
      <c r="O69" s="35">
        <f t="shared" si="5"/>
        <v>0</v>
      </c>
      <c r="P69" s="36">
        <f t="shared" si="5"/>
        <v>0</v>
      </c>
      <c r="Q69" s="44" t="s">
        <v>298</v>
      </c>
      <c r="R69" s="15"/>
      <c r="S69" s="15"/>
      <c r="T69" s="15"/>
      <c r="U69" s="47"/>
      <c r="V69" s="38"/>
      <c r="W69" s="48"/>
      <c r="X69" s="95" t="s">
        <v>179</v>
      </c>
    </row>
    <row r="70" spans="1:24" ht="34.5" x14ac:dyDescent="0.35">
      <c r="A70" s="13">
        <v>70</v>
      </c>
      <c r="B70" s="14" t="s">
        <v>23</v>
      </c>
      <c r="C70" s="40" t="s">
        <v>299</v>
      </c>
      <c r="D70" s="40" t="s">
        <v>25</v>
      </c>
      <c r="E70" s="15" t="s">
        <v>26</v>
      </c>
      <c r="F70" s="40" t="s">
        <v>229</v>
      </c>
      <c r="G70" s="40" t="s">
        <v>300</v>
      </c>
      <c r="H70" s="42">
        <v>3</v>
      </c>
      <c r="I70" s="31"/>
      <c r="J70" s="32"/>
      <c r="K70" s="31"/>
      <c r="L70" s="20"/>
      <c r="M70" s="33">
        <f t="shared" si="5"/>
        <v>0</v>
      </c>
      <c r="N70" s="34">
        <f t="shared" si="5"/>
        <v>0</v>
      </c>
      <c r="O70" s="35">
        <f t="shared" si="5"/>
        <v>0</v>
      </c>
      <c r="P70" s="36">
        <f t="shared" si="5"/>
        <v>0</v>
      </c>
      <c r="Q70" s="44" t="s">
        <v>301</v>
      </c>
      <c r="R70" s="15"/>
      <c r="S70" s="15"/>
      <c r="T70" s="15"/>
      <c r="U70" s="47"/>
      <c r="V70" s="38">
        <v>3</v>
      </c>
      <c r="W70" s="48"/>
      <c r="X70" s="27" t="s">
        <v>179</v>
      </c>
    </row>
    <row r="71" spans="1:24" ht="46" x14ac:dyDescent="0.35">
      <c r="A71" s="13">
        <v>71</v>
      </c>
      <c r="B71" s="14" t="s">
        <v>23</v>
      </c>
      <c r="C71" s="40" t="s">
        <v>302</v>
      </c>
      <c r="D71" s="40" t="s">
        <v>25</v>
      </c>
      <c r="E71" s="15" t="s">
        <v>26</v>
      </c>
      <c r="F71" s="40" t="s">
        <v>229</v>
      </c>
      <c r="G71" s="40" t="s">
        <v>303</v>
      </c>
      <c r="H71" s="42">
        <v>2</v>
      </c>
      <c r="I71" s="31"/>
      <c r="J71" s="32"/>
      <c r="K71" s="31"/>
      <c r="L71" s="20"/>
      <c r="M71" s="33">
        <f t="shared" si="5"/>
        <v>0</v>
      </c>
      <c r="N71" s="34">
        <f t="shared" si="5"/>
        <v>0</v>
      </c>
      <c r="O71" s="35">
        <f t="shared" si="5"/>
        <v>0</v>
      </c>
      <c r="P71" s="36">
        <f t="shared" si="5"/>
        <v>0</v>
      </c>
      <c r="Q71" s="44" t="s">
        <v>304</v>
      </c>
      <c r="R71" s="15"/>
      <c r="S71" s="15"/>
      <c r="T71" s="15"/>
      <c r="U71" s="47"/>
      <c r="V71" s="38">
        <v>2</v>
      </c>
      <c r="W71" s="48"/>
      <c r="X71" s="27" t="s">
        <v>179</v>
      </c>
    </row>
    <row r="72" spans="1:24" ht="46" x14ac:dyDescent="0.35">
      <c r="A72" s="13">
        <v>72</v>
      </c>
      <c r="B72" s="14" t="s">
        <v>23</v>
      </c>
      <c r="C72" s="40" t="s">
        <v>302</v>
      </c>
      <c r="D72" s="40" t="s">
        <v>25</v>
      </c>
      <c r="E72" s="15" t="s">
        <v>26</v>
      </c>
      <c r="F72" s="40" t="s">
        <v>229</v>
      </c>
      <c r="G72" s="40" t="s">
        <v>305</v>
      </c>
      <c r="H72" s="42">
        <v>2</v>
      </c>
      <c r="I72" s="31"/>
      <c r="J72" s="32"/>
      <c r="K72" s="31"/>
      <c r="L72" s="20"/>
      <c r="M72" s="33">
        <f t="shared" si="5"/>
        <v>0</v>
      </c>
      <c r="N72" s="34">
        <f t="shared" si="5"/>
        <v>0</v>
      </c>
      <c r="O72" s="35">
        <f t="shared" si="5"/>
        <v>0</v>
      </c>
      <c r="P72" s="36">
        <f t="shared" si="5"/>
        <v>0</v>
      </c>
      <c r="Q72" s="44" t="s">
        <v>306</v>
      </c>
      <c r="R72" s="15"/>
      <c r="S72" s="15"/>
      <c r="T72" s="15"/>
      <c r="U72" s="47"/>
      <c r="V72" s="38">
        <v>2</v>
      </c>
      <c r="W72" s="48"/>
      <c r="X72" s="27" t="s">
        <v>179</v>
      </c>
    </row>
    <row r="73" spans="1:24" ht="34.5" x14ac:dyDescent="0.35">
      <c r="A73" s="13">
        <v>73</v>
      </c>
      <c r="B73" s="14" t="s">
        <v>23</v>
      </c>
      <c r="C73" s="40" t="s">
        <v>302</v>
      </c>
      <c r="D73" s="40" t="s">
        <v>25</v>
      </c>
      <c r="E73" s="15" t="s">
        <v>26</v>
      </c>
      <c r="F73" s="40" t="s">
        <v>229</v>
      </c>
      <c r="G73" s="40" t="s">
        <v>307</v>
      </c>
      <c r="H73" s="42">
        <v>2</v>
      </c>
      <c r="I73" s="31"/>
      <c r="J73" s="32"/>
      <c r="K73" s="31"/>
      <c r="L73" s="20"/>
      <c r="M73" s="33">
        <f t="shared" si="5"/>
        <v>0</v>
      </c>
      <c r="N73" s="34">
        <f t="shared" si="5"/>
        <v>0</v>
      </c>
      <c r="O73" s="35">
        <f t="shared" si="5"/>
        <v>0</v>
      </c>
      <c r="P73" s="36">
        <f t="shared" si="5"/>
        <v>0</v>
      </c>
      <c r="Q73" s="44" t="s">
        <v>308</v>
      </c>
      <c r="R73" s="15"/>
      <c r="S73" s="15"/>
      <c r="T73" s="15"/>
      <c r="U73" s="47"/>
      <c r="V73" s="38">
        <v>2</v>
      </c>
      <c r="W73" s="48"/>
      <c r="X73" s="27" t="s">
        <v>179</v>
      </c>
    </row>
    <row r="74" spans="1:24" ht="46" x14ac:dyDescent="0.35">
      <c r="A74" s="13">
        <v>74</v>
      </c>
      <c r="B74" s="14" t="s">
        <v>23</v>
      </c>
      <c r="C74" s="40" t="s">
        <v>309</v>
      </c>
      <c r="D74" s="40" t="s">
        <v>25</v>
      </c>
      <c r="E74" s="15" t="s">
        <v>26</v>
      </c>
      <c r="F74" s="40" t="s">
        <v>229</v>
      </c>
      <c r="G74" s="40" t="s">
        <v>310</v>
      </c>
      <c r="H74" s="42">
        <v>2</v>
      </c>
      <c r="I74" s="31"/>
      <c r="J74" s="32"/>
      <c r="K74" s="31"/>
      <c r="L74" s="20"/>
      <c r="M74" s="33">
        <f t="shared" si="5"/>
        <v>0</v>
      </c>
      <c r="N74" s="34">
        <f t="shared" si="5"/>
        <v>0</v>
      </c>
      <c r="O74" s="35">
        <f t="shared" si="5"/>
        <v>0</v>
      </c>
      <c r="P74" s="36">
        <f t="shared" si="5"/>
        <v>0</v>
      </c>
      <c r="Q74" s="44" t="s">
        <v>311</v>
      </c>
      <c r="R74" s="15"/>
      <c r="S74" s="15"/>
      <c r="T74" s="15"/>
      <c r="U74" s="47"/>
      <c r="V74" s="38">
        <v>2</v>
      </c>
      <c r="W74" s="48"/>
      <c r="X74" s="27" t="s">
        <v>179</v>
      </c>
    </row>
    <row r="75" spans="1:24" ht="34.5" x14ac:dyDescent="0.35">
      <c r="A75" s="13">
        <v>75</v>
      </c>
      <c r="B75" s="14" t="s">
        <v>23</v>
      </c>
      <c r="C75" s="40" t="s">
        <v>309</v>
      </c>
      <c r="D75" s="40" t="s">
        <v>25</v>
      </c>
      <c r="E75" s="15" t="s">
        <v>26</v>
      </c>
      <c r="F75" s="40" t="s">
        <v>229</v>
      </c>
      <c r="G75" s="40" t="s">
        <v>312</v>
      </c>
      <c r="H75" s="42">
        <v>1</v>
      </c>
      <c r="I75" s="31"/>
      <c r="J75" s="32"/>
      <c r="K75" s="31"/>
      <c r="L75" s="20"/>
      <c r="M75" s="33">
        <f t="shared" si="5"/>
        <v>0</v>
      </c>
      <c r="N75" s="34">
        <f t="shared" si="5"/>
        <v>0</v>
      </c>
      <c r="O75" s="35">
        <f t="shared" si="5"/>
        <v>0</v>
      </c>
      <c r="P75" s="36">
        <f t="shared" si="5"/>
        <v>0</v>
      </c>
      <c r="Q75" s="44" t="s">
        <v>313</v>
      </c>
      <c r="R75" s="15"/>
      <c r="S75" s="15"/>
      <c r="T75" s="15"/>
      <c r="U75" s="47"/>
      <c r="V75" s="38">
        <v>1</v>
      </c>
      <c r="W75" s="48"/>
      <c r="X75" s="27" t="s">
        <v>179</v>
      </c>
    </row>
    <row r="76" spans="1:24" ht="34.5" x14ac:dyDescent="0.35">
      <c r="A76" s="13">
        <v>76</v>
      </c>
      <c r="B76" s="14" t="s">
        <v>23</v>
      </c>
      <c r="C76" s="40" t="s">
        <v>309</v>
      </c>
      <c r="D76" s="40" t="s">
        <v>25</v>
      </c>
      <c r="E76" s="15" t="s">
        <v>26</v>
      </c>
      <c r="F76" s="40" t="s">
        <v>60</v>
      </c>
      <c r="G76" s="40" t="s">
        <v>314</v>
      </c>
      <c r="H76" s="42">
        <v>2</v>
      </c>
      <c r="I76" s="31"/>
      <c r="J76" s="32"/>
      <c r="K76" s="31"/>
      <c r="L76" s="20"/>
      <c r="M76" s="33">
        <f t="shared" si="5"/>
        <v>0</v>
      </c>
      <c r="N76" s="34">
        <f t="shared" si="5"/>
        <v>0</v>
      </c>
      <c r="O76" s="35">
        <f t="shared" si="5"/>
        <v>0</v>
      </c>
      <c r="P76" s="36">
        <f t="shared" si="5"/>
        <v>0</v>
      </c>
      <c r="Q76" s="96" t="s">
        <v>315</v>
      </c>
      <c r="R76" s="97"/>
      <c r="S76" s="97"/>
      <c r="T76" s="97"/>
      <c r="U76" s="47"/>
      <c r="V76" s="26">
        <v>2</v>
      </c>
      <c r="W76" s="56"/>
      <c r="X76" s="27" t="s">
        <v>179</v>
      </c>
    </row>
    <row r="77" spans="1:24" x14ac:dyDescent="0.35">
      <c r="A77" s="13">
        <v>76</v>
      </c>
      <c r="B77" s="14" t="s">
        <v>90</v>
      </c>
      <c r="C77" s="40" t="s">
        <v>100</v>
      </c>
      <c r="D77" s="40" t="s">
        <v>92</v>
      </c>
      <c r="E77" s="15" t="s">
        <v>59</v>
      </c>
      <c r="F77" s="40" t="s">
        <v>316</v>
      </c>
      <c r="G77" s="40" t="s">
        <v>317</v>
      </c>
      <c r="H77" s="98"/>
      <c r="I77" s="31"/>
      <c r="J77" s="32"/>
      <c r="K77" s="31"/>
      <c r="L77" s="20"/>
      <c r="M77" s="33">
        <f t="shared" si="5"/>
        <v>0</v>
      </c>
      <c r="N77" s="34">
        <f t="shared" si="5"/>
        <v>0</v>
      </c>
      <c r="O77" s="35">
        <f t="shared" si="5"/>
        <v>0</v>
      </c>
      <c r="P77" s="36">
        <f t="shared" si="5"/>
        <v>0</v>
      </c>
      <c r="Q77" s="96"/>
      <c r="R77" s="97"/>
      <c r="S77" s="97"/>
      <c r="T77" s="97"/>
      <c r="U77" s="47"/>
      <c r="V77" s="26"/>
      <c r="W77" s="56"/>
      <c r="X77" s="27" t="s">
        <v>35</v>
      </c>
    </row>
    <row r="78" spans="1:24" x14ac:dyDescent="0.35">
      <c r="A78" s="13">
        <v>77</v>
      </c>
      <c r="B78" s="14" t="s">
        <v>23</v>
      </c>
      <c r="C78" s="40" t="s">
        <v>86</v>
      </c>
      <c r="D78" s="40" t="s">
        <v>25</v>
      </c>
      <c r="E78" s="15" t="s">
        <v>26</v>
      </c>
      <c r="F78" s="40" t="s">
        <v>316</v>
      </c>
      <c r="G78" s="40" t="s">
        <v>318</v>
      </c>
      <c r="H78" s="98"/>
      <c r="I78" s="31"/>
      <c r="J78" s="32"/>
      <c r="K78" s="31"/>
      <c r="L78" s="20"/>
      <c r="M78" s="33">
        <f t="shared" si="5"/>
        <v>0</v>
      </c>
      <c r="N78" s="34">
        <f t="shared" si="5"/>
        <v>0</v>
      </c>
      <c r="O78" s="35">
        <f t="shared" si="5"/>
        <v>0</v>
      </c>
      <c r="P78" s="36">
        <f t="shared" si="5"/>
        <v>0</v>
      </c>
      <c r="Q78" s="96"/>
      <c r="R78" s="97"/>
      <c r="S78" s="97"/>
      <c r="T78" s="97"/>
      <c r="U78" s="47"/>
      <c r="V78" s="26"/>
      <c r="W78" s="56"/>
      <c r="X78" s="27" t="s">
        <v>35</v>
      </c>
    </row>
    <row r="79" spans="1:24" ht="34.5" x14ac:dyDescent="0.35">
      <c r="A79" s="14">
        <v>78</v>
      </c>
      <c r="B79" s="14" t="s">
        <v>90</v>
      </c>
      <c r="C79" s="40" t="s">
        <v>91</v>
      </c>
      <c r="D79" s="40" t="s">
        <v>92</v>
      </c>
      <c r="E79" s="15" t="s">
        <v>117</v>
      </c>
      <c r="F79" s="40" t="s">
        <v>319</v>
      </c>
      <c r="G79" s="40" t="s">
        <v>320</v>
      </c>
      <c r="H79" s="42">
        <v>1</v>
      </c>
      <c r="I79" s="31">
        <v>1200</v>
      </c>
      <c r="J79" s="32">
        <v>2188.2352941176473</v>
      </c>
      <c r="K79" s="31">
        <v>2700</v>
      </c>
      <c r="L79" s="20"/>
      <c r="M79" s="33">
        <f t="shared" si="5"/>
        <v>1090.9090909090908</v>
      </c>
      <c r="N79" s="34">
        <f t="shared" si="5"/>
        <v>1989.3048128342245</v>
      </c>
      <c r="O79" s="35">
        <f t="shared" si="5"/>
        <v>2454.5454545454545</v>
      </c>
      <c r="P79" s="36">
        <f t="shared" si="5"/>
        <v>0</v>
      </c>
      <c r="Q79" s="96" t="s">
        <v>321</v>
      </c>
      <c r="R79" s="97"/>
      <c r="S79" s="97" t="s">
        <v>322</v>
      </c>
      <c r="T79" s="97"/>
      <c r="U79" s="47"/>
      <c r="V79" s="26"/>
      <c r="W79" s="56"/>
      <c r="X79" s="27" t="s">
        <v>35</v>
      </c>
    </row>
    <row r="80" spans="1:24" ht="57.5" x14ac:dyDescent="0.35">
      <c r="A80" s="14">
        <v>79</v>
      </c>
      <c r="B80" s="14" t="s">
        <v>90</v>
      </c>
      <c r="C80" s="40" t="s">
        <v>91</v>
      </c>
      <c r="D80" s="40" t="s">
        <v>92</v>
      </c>
      <c r="E80" s="15" t="s">
        <v>117</v>
      </c>
      <c r="F80" s="40" t="s">
        <v>319</v>
      </c>
      <c r="G80" s="40" t="s">
        <v>323</v>
      </c>
      <c r="H80" s="42">
        <v>2</v>
      </c>
      <c r="I80" s="31">
        <v>4000</v>
      </c>
      <c r="J80" s="32">
        <v>7294.1176470588234</v>
      </c>
      <c r="K80" s="31">
        <v>8900</v>
      </c>
      <c r="L80" s="20"/>
      <c r="M80" s="33">
        <f t="shared" si="5"/>
        <v>3636.363636363636</v>
      </c>
      <c r="N80" s="34">
        <f t="shared" si="5"/>
        <v>6631.0160427807477</v>
      </c>
      <c r="O80" s="35">
        <f t="shared" si="5"/>
        <v>8090.9090909090901</v>
      </c>
      <c r="P80" s="36">
        <f t="shared" si="5"/>
        <v>0</v>
      </c>
      <c r="Q80" s="96" t="s">
        <v>324</v>
      </c>
      <c r="R80" s="97"/>
      <c r="S80" s="97" t="s">
        <v>325</v>
      </c>
      <c r="T80" s="97"/>
      <c r="U80" s="47"/>
      <c r="V80" s="26"/>
      <c r="W80" s="56"/>
      <c r="X80" s="27" t="s">
        <v>35</v>
      </c>
    </row>
    <row r="81" spans="1:24" ht="34.5" x14ac:dyDescent="0.35">
      <c r="A81" s="14">
        <v>80</v>
      </c>
      <c r="B81" s="14" t="s">
        <v>90</v>
      </c>
      <c r="C81" s="40" t="s">
        <v>91</v>
      </c>
      <c r="D81" s="40" t="s">
        <v>92</v>
      </c>
      <c r="E81" s="15" t="s">
        <v>117</v>
      </c>
      <c r="F81" s="40" t="s">
        <v>319</v>
      </c>
      <c r="G81" s="40" t="s">
        <v>326</v>
      </c>
      <c r="H81" s="42">
        <v>1</v>
      </c>
      <c r="I81" s="31">
        <v>600</v>
      </c>
      <c r="J81" s="32">
        <v>1094.1176470588236</v>
      </c>
      <c r="K81" s="31">
        <v>1400</v>
      </c>
      <c r="L81" s="20"/>
      <c r="M81" s="33">
        <f t="shared" si="5"/>
        <v>545.45454545454538</v>
      </c>
      <c r="N81" s="34">
        <f t="shared" si="5"/>
        <v>994.65240641711227</v>
      </c>
      <c r="O81" s="35">
        <f t="shared" si="5"/>
        <v>1272.7272727272725</v>
      </c>
      <c r="P81" s="36">
        <f t="shared" si="5"/>
        <v>0</v>
      </c>
      <c r="Q81" s="96" t="s">
        <v>327</v>
      </c>
      <c r="R81" s="97"/>
      <c r="S81" s="97" t="s">
        <v>328</v>
      </c>
      <c r="T81" s="97"/>
      <c r="U81" s="47"/>
      <c r="V81" s="26"/>
      <c r="W81" s="56"/>
      <c r="X81" s="27" t="s">
        <v>35</v>
      </c>
    </row>
    <row r="82" spans="1:24" ht="92" x14ac:dyDescent="0.35">
      <c r="A82" s="14">
        <v>81</v>
      </c>
      <c r="B82" s="14" t="s">
        <v>90</v>
      </c>
      <c r="C82" s="40" t="s">
        <v>91</v>
      </c>
      <c r="D82" s="40" t="s">
        <v>92</v>
      </c>
      <c r="E82" s="15" t="s">
        <v>117</v>
      </c>
      <c r="F82" s="40" t="s">
        <v>118</v>
      </c>
      <c r="G82" s="29" t="s">
        <v>329</v>
      </c>
      <c r="H82" s="42">
        <v>2</v>
      </c>
      <c r="I82" s="31">
        <v>3000</v>
      </c>
      <c r="J82" s="32">
        <v>5470.588235294118</v>
      </c>
      <c r="K82" s="31">
        <v>6700</v>
      </c>
      <c r="L82" s="20"/>
      <c r="M82" s="33">
        <f t="shared" si="5"/>
        <v>2727.272727272727</v>
      </c>
      <c r="N82" s="34">
        <f t="shared" si="5"/>
        <v>4973.2620320855613</v>
      </c>
      <c r="O82" s="35">
        <f t="shared" si="5"/>
        <v>6090.9090909090901</v>
      </c>
      <c r="P82" s="36">
        <f t="shared" si="5"/>
        <v>0</v>
      </c>
      <c r="Q82" s="96" t="s">
        <v>330</v>
      </c>
      <c r="R82" s="97" t="s">
        <v>331</v>
      </c>
      <c r="S82" s="97" t="s">
        <v>332</v>
      </c>
      <c r="T82" s="97" t="s">
        <v>333</v>
      </c>
      <c r="U82" s="47"/>
      <c r="V82" s="26"/>
      <c r="W82" s="56"/>
      <c r="X82" s="27" t="s">
        <v>35</v>
      </c>
    </row>
    <row r="83" spans="1:24" ht="92" x14ac:dyDescent="0.35">
      <c r="A83" s="14">
        <v>82</v>
      </c>
      <c r="B83" s="14" t="s">
        <v>90</v>
      </c>
      <c r="C83" s="40" t="s">
        <v>91</v>
      </c>
      <c r="D83" s="40" t="s">
        <v>92</v>
      </c>
      <c r="E83" s="15" t="s">
        <v>117</v>
      </c>
      <c r="F83" s="40" t="s">
        <v>118</v>
      </c>
      <c r="G83" s="29" t="s">
        <v>334</v>
      </c>
      <c r="H83" s="42">
        <v>2</v>
      </c>
      <c r="I83" s="31">
        <v>3300</v>
      </c>
      <c r="J83" s="32">
        <v>6017.6470588235297</v>
      </c>
      <c r="K83" s="31">
        <v>7400</v>
      </c>
      <c r="L83" s="20"/>
      <c r="M83" s="33">
        <f t="shared" si="5"/>
        <v>2999.9999999999995</v>
      </c>
      <c r="N83" s="34">
        <f t="shared" si="5"/>
        <v>5470.5882352941171</v>
      </c>
      <c r="O83" s="35">
        <f t="shared" si="5"/>
        <v>6727.272727272727</v>
      </c>
      <c r="P83" s="36">
        <f t="shared" si="5"/>
        <v>0</v>
      </c>
      <c r="Q83" s="96" t="s">
        <v>330</v>
      </c>
      <c r="R83" s="97" t="s">
        <v>331</v>
      </c>
      <c r="S83" s="97" t="s">
        <v>332</v>
      </c>
      <c r="T83" s="97" t="s">
        <v>333</v>
      </c>
      <c r="U83" s="47"/>
      <c r="V83" s="26"/>
      <c r="W83" s="56"/>
      <c r="X83" s="27" t="s">
        <v>35</v>
      </c>
    </row>
    <row r="84" spans="1:24" x14ac:dyDescent="0.35">
      <c r="A84" s="99">
        <v>83</v>
      </c>
      <c r="B84" s="14" t="s">
        <v>90</v>
      </c>
      <c r="C84" s="40" t="s">
        <v>100</v>
      </c>
      <c r="D84" s="40" t="s">
        <v>335</v>
      </c>
      <c r="E84" s="15" t="s">
        <v>59</v>
      </c>
      <c r="F84" s="40" t="s">
        <v>316</v>
      </c>
      <c r="G84" s="40" t="s">
        <v>336</v>
      </c>
      <c r="H84" s="98"/>
      <c r="I84" s="31"/>
      <c r="J84" s="32"/>
      <c r="K84" s="31"/>
      <c r="L84" s="20"/>
      <c r="M84" s="33">
        <f t="shared" si="5"/>
        <v>0</v>
      </c>
      <c r="N84" s="34">
        <f t="shared" si="5"/>
        <v>0</v>
      </c>
      <c r="O84" s="35">
        <f t="shared" si="5"/>
        <v>0</v>
      </c>
      <c r="P84" s="36">
        <f t="shared" si="5"/>
        <v>0</v>
      </c>
      <c r="Q84" s="96"/>
      <c r="R84" s="97"/>
      <c r="S84" s="97"/>
      <c r="T84" s="97"/>
      <c r="U84" s="47"/>
      <c r="V84" s="26"/>
      <c r="W84" s="56"/>
      <c r="X84" s="27" t="s">
        <v>35</v>
      </c>
    </row>
    <row r="85" spans="1:24" x14ac:dyDescent="0.35">
      <c r="A85" s="99">
        <v>84</v>
      </c>
      <c r="B85" s="14" t="s">
        <v>90</v>
      </c>
      <c r="C85" s="40" t="s">
        <v>100</v>
      </c>
      <c r="D85" s="40" t="s">
        <v>337</v>
      </c>
      <c r="E85" s="15" t="s">
        <v>59</v>
      </c>
      <c r="F85" s="40" t="s">
        <v>316</v>
      </c>
      <c r="G85" s="40" t="s">
        <v>338</v>
      </c>
      <c r="H85" s="98"/>
      <c r="I85" s="31"/>
      <c r="J85" s="32"/>
      <c r="K85" s="31"/>
      <c r="L85" s="20"/>
      <c r="M85" s="33">
        <f t="shared" si="5"/>
        <v>0</v>
      </c>
      <c r="N85" s="34">
        <f t="shared" si="5"/>
        <v>0</v>
      </c>
      <c r="O85" s="35">
        <f t="shared" si="5"/>
        <v>0</v>
      </c>
      <c r="P85" s="36">
        <f t="shared" si="5"/>
        <v>0</v>
      </c>
      <c r="Q85" s="96"/>
      <c r="R85" s="97"/>
      <c r="S85" s="97"/>
      <c r="T85" s="97"/>
      <c r="U85" s="47"/>
      <c r="V85" s="26"/>
      <c r="W85" s="56"/>
      <c r="X85" s="27" t="s">
        <v>35</v>
      </c>
    </row>
    <row r="86" spans="1:24" x14ac:dyDescent="0.35">
      <c r="A86" s="99">
        <v>85</v>
      </c>
      <c r="B86" s="14" t="s">
        <v>90</v>
      </c>
      <c r="C86" s="40" t="s">
        <v>100</v>
      </c>
      <c r="D86" s="40" t="s">
        <v>339</v>
      </c>
      <c r="E86" s="15" t="s">
        <v>59</v>
      </c>
      <c r="F86" s="40" t="s">
        <v>316</v>
      </c>
      <c r="G86" s="40" t="s">
        <v>340</v>
      </c>
      <c r="H86" s="98"/>
      <c r="I86" s="31"/>
      <c r="J86" s="32"/>
      <c r="K86" s="31"/>
      <c r="L86" s="20"/>
      <c r="M86" s="33">
        <f t="shared" si="5"/>
        <v>0</v>
      </c>
      <c r="N86" s="34">
        <f t="shared" si="5"/>
        <v>0</v>
      </c>
      <c r="O86" s="35">
        <f t="shared" si="5"/>
        <v>0</v>
      </c>
      <c r="P86" s="36">
        <f t="shared" si="5"/>
        <v>0</v>
      </c>
      <c r="Q86" s="96"/>
      <c r="R86" s="97"/>
      <c r="S86" s="97"/>
      <c r="T86" s="97"/>
      <c r="U86" s="47"/>
      <c r="V86" s="26"/>
      <c r="W86" s="56"/>
      <c r="X86" s="27" t="s">
        <v>35</v>
      </c>
    </row>
    <row r="87" spans="1:24" x14ac:dyDescent="0.35">
      <c r="A87" s="99">
        <v>86</v>
      </c>
      <c r="B87" s="14" t="s">
        <v>90</v>
      </c>
      <c r="C87" s="40" t="s">
        <v>100</v>
      </c>
      <c r="D87" s="40" t="s">
        <v>341</v>
      </c>
      <c r="E87" s="15" t="s">
        <v>59</v>
      </c>
      <c r="F87" s="40" t="s">
        <v>342</v>
      </c>
      <c r="G87" s="40" t="s">
        <v>343</v>
      </c>
      <c r="H87" s="42"/>
      <c r="I87" s="31"/>
      <c r="J87" s="32"/>
      <c r="K87" s="31"/>
      <c r="L87" s="20"/>
      <c r="M87" s="33">
        <f t="shared" si="5"/>
        <v>0</v>
      </c>
      <c r="N87" s="34">
        <f t="shared" si="5"/>
        <v>0</v>
      </c>
      <c r="O87" s="35">
        <f t="shared" si="5"/>
        <v>0</v>
      </c>
      <c r="P87" s="36">
        <f t="shared" si="5"/>
        <v>0</v>
      </c>
      <c r="Q87" s="96"/>
      <c r="R87" s="97"/>
      <c r="S87" s="97"/>
      <c r="T87" s="97"/>
      <c r="U87" s="47"/>
      <c r="V87" s="26"/>
      <c r="W87" s="56"/>
      <c r="X87" s="27" t="s">
        <v>35</v>
      </c>
    </row>
    <row r="88" spans="1:24" ht="57.5" x14ac:dyDescent="0.35">
      <c r="A88" s="100">
        <v>87</v>
      </c>
      <c r="B88" s="14" t="s">
        <v>90</v>
      </c>
      <c r="C88" s="40" t="s">
        <v>100</v>
      </c>
      <c r="D88" s="40" t="s">
        <v>92</v>
      </c>
      <c r="E88" s="15" t="s">
        <v>93</v>
      </c>
      <c r="F88" s="40" t="s">
        <v>344</v>
      </c>
      <c r="G88" s="40" t="s">
        <v>345</v>
      </c>
      <c r="H88" s="42">
        <v>3</v>
      </c>
      <c r="I88" s="31">
        <v>1700</v>
      </c>
      <c r="J88" s="32">
        <v>3100</v>
      </c>
      <c r="K88" s="31">
        <v>3800</v>
      </c>
      <c r="L88" s="20">
        <v>15000</v>
      </c>
      <c r="M88" s="33">
        <f t="shared" si="5"/>
        <v>1545.4545454545453</v>
      </c>
      <c r="N88" s="34">
        <f t="shared" si="5"/>
        <v>2818.181818181818</v>
      </c>
      <c r="O88" s="35">
        <f t="shared" si="5"/>
        <v>3454.545454545454</v>
      </c>
      <c r="P88" s="36">
        <f t="shared" si="5"/>
        <v>13636.363636363636</v>
      </c>
      <c r="Q88" s="96" t="s">
        <v>346</v>
      </c>
      <c r="R88" s="97" t="s">
        <v>347</v>
      </c>
      <c r="S88" s="97" t="s">
        <v>348</v>
      </c>
      <c r="T88" s="97" t="s">
        <v>349</v>
      </c>
      <c r="U88" s="47"/>
      <c r="V88" s="26"/>
      <c r="W88" s="56"/>
      <c r="X88" s="27" t="s">
        <v>35</v>
      </c>
    </row>
    <row r="89" spans="1:24" ht="57.5" x14ac:dyDescent="0.35">
      <c r="A89" s="100">
        <v>88</v>
      </c>
      <c r="B89" s="14" t="s">
        <v>90</v>
      </c>
      <c r="C89" s="40" t="s">
        <v>100</v>
      </c>
      <c r="D89" s="40" t="s">
        <v>92</v>
      </c>
      <c r="E89" s="15" t="s">
        <v>93</v>
      </c>
      <c r="F89" s="40" t="s">
        <v>344</v>
      </c>
      <c r="G89" s="40" t="s">
        <v>350</v>
      </c>
      <c r="H89" s="42">
        <v>3</v>
      </c>
      <c r="I89" s="31">
        <v>1700</v>
      </c>
      <c r="J89" s="32">
        <v>3100</v>
      </c>
      <c r="K89" s="31">
        <v>3800</v>
      </c>
      <c r="L89" s="20">
        <v>15000</v>
      </c>
      <c r="M89" s="33">
        <f t="shared" si="5"/>
        <v>1545.4545454545453</v>
      </c>
      <c r="N89" s="34">
        <f t="shared" si="5"/>
        <v>2818.181818181818</v>
      </c>
      <c r="O89" s="35">
        <f t="shared" si="5"/>
        <v>3454.545454545454</v>
      </c>
      <c r="P89" s="36">
        <f t="shared" si="5"/>
        <v>13636.363636363636</v>
      </c>
      <c r="Q89" s="96" t="s">
        <v>351</v>
      </c>
      <c r="R89" s="97" t="s">
        <v>352</v>
      </c>
      <c r="S89" s="97" t="s">
        <v>353</v>
      </c>
      <c r="T89" s="97" t="s">
        <v>354</v>
      </c>
      <c r="U89" s="47"/>
      <c r="V89" s="26"/>
      <c r="W89" s="56"/>
      <c r="X89" s="27" t="s">
        <v>35</v>
      </c>
    </row>
    <row r="90" spans="1:24" ht="57.5" x14ac:dyDescent="0.35">
      <c r="A90" s="100">
        <v>89</v>
      </c>
      <c r="B90" s="14" t="s">
        <v>90</v>
      </c>
      <c r="C90" s="40" t="s">
        <v>100</v>
      </c>
      <c r="D90" s="40" t="s">
        <v>92</v>
      </c>
      <c r="E90" s="15" t="s">
        <v>93</v>
      </c>
      <c r="F90" s="40" t="s">
        <v>344</v>
      </c>
      <c r="G90" s="40" t="s">
        <v>355</v>
      </c>
      <c r="H90" s="42">
        <v>3</v>
      </c>
      <c r="I90" s="31">
        <v>1700</v>
      </c>
      <c r="J90" s="32">
        <v>3100</v>
      </c>
      <c r="K90" s="31">
        <v>3800</v>
      </c>
      <c r="L90" s="20">
        <v>15000</v>
      </c>
      <c r="M90" s="33">
        <f t="shared" si="5"/>
        <v>1545.4545454545453</v>
      </c>
      <c r="N90" s="34">
        <f t="shared" si="5"/>
        <v>2818.181818181818</v>
      </c>
      <c r="O90" s="35">
        <f t="shared" si="5"/>
        <v>3454.545454545454</v>
      </c>
      <c r="P90" s="36">
        <f t="shared" si="5"/>
        <v>13636.363636363636</v>
      </c>
      <c r="Q90" s="96" t="s">
        <v>356</v>
      </c>
      <c r="R90" s="97" t="s">
        <v>357</v>
      </c>
      <c r="S90" s="97" t="s">
        <v>358</v>
      </c>
      <c r="T90" s="97" t="s">
        <v>359</v>
      </c>
      <c r="U90" s="47"/>
      <c r="V90" s="26"/>
      <c r="W90" s="56"/>
      <c r="X90" s="27" t="s">
        <v>35</v>
      </c>
    </row>
    <row r="91" spans="1:24" ht="57.5" x14ac:dyDescent="0.35">
      <c r="A91" s="100">
        <v>90</v>
      </c>
      <c r="B91" s="14" t="s">
        <v>90</v>
      </c>
      <c r="C91" s="40" t="s">
        <v>100</v>
      </c>
      <c r="D91" s="40" t="s">
        <v>92</v>
      </c>
      <c r="E91" s="15" t="s">
        <v>93</v>
      </c>
      <c r="F91" s="40" t="s">
        <v>344</v>
      </c>
      <c r="G91" s="40" t="s">
        <v>360</v>
      </c>
      <c r="H91" s="42">
        <v>3</v>
      </c>
      <c r="I91" s="31">
        <v>1700</v>
      </c>
      <c r="J91" s="32">
        <v>3100</v>
      </c>
      <c r="K91" s="31">
        <v>3800</v>
      </c>
      <c r="L91" s="20">
        <v>15000</v>
      </c>
      <c r="M91" s="33">
        <f t="shared" si="5"/>
        <v>1545.4545454545453</v>
      </c>
      <c r="N91" s="34">
        <f t="shared" si="5"/>
        <v>2818.181818181818</v>
      </c>
      <c r="O91" s="35">
        <f t="shared" si="5"/>
        <v>3454.545454545454</v>
      </c>
      <c r="P91" s="36">
        <f t="shared" si="5"/>
        <v>13636.363636363636</v>
      </c>
      <c r="Q91" s="96" t="s">
        <v>361</v>
      </c>
      <c r="R91" s="97" t="s">
        <v>357</v>
      </c>
      <c r="S91" s="97" t="s">
        <v>362</v>
      </c>
      <c r="T91" s="97" t="s">
        <v>363</v>
      </c>
      <c r="U91" s="47"/>
      <c r="V91" s="26"/>
      <c r="W91" s="56"/>
      <c r="X91" s="27" t="s">
        <v>35</v>
      </c>
    </row>
    <row r="92" spans="1:24" ht="57.5" x14ac:dyDescent="0.35">
      <c r="A92" s="100">
        <v>91</v>
      </c>
      <c r="B92" s="14" t="s">
        <v>90</v>
      </c>
      <c r="C92" s="40" t="s">
        <v>100</v>
      </c>
      <c r="D92" s="40" t="s">
        <v>92</v>
      </c>
      <c r="E92" s="15" t="s">
        <v>93</v>
      </c>
      <c r="F92" s="40" t="s">
        <v>344</v>
      </c>
      <c r="G92" s="40" t="s">
        <v>364</v>
      </c>
      <c r="H92" s="42">
        <v>3</v>
      </c>
      <c r="I92" s="31">
        <v>1700</v>
      </c>
      <c r="J92" s="32">
        <v>3100</v>
      </c>
      <c r="K92" s="31">
        <v>3800</v>
      </c>
      <c r="L92" s="20">
        <v>15000</v>
      </c>
      <c r="M92" s="33">
        <f t="shared" si="5"/>
        <v>1545.4545454545453</v>
      </c>
      <c r="N92" s="34">
        <f t="shared" si="5"/>
        <v>2818.181818181818</v>
      </c>
      <c r="O92" s="35">
        <f t="shared" si="5"/>
        <v>3454.545454545454</v>
      </c>
      <c r="P92" s="36">
        <f t="shared" si="5"/>
        <v>13636.363636363636</v>
      </c>
      <c r="Q92" s="96" t="s">
        <v>365</v>
      </c>
      <c r="R92" s="97" t="s">
        <v>357</v>
      </c>
      <c r="S92" s="97" t="s">
        <v>366</v>
      </c>
      <c r="T92" s="97" t="s">
        <v>367</v>
      </c>
      <c r="U92" s="47"/>
      <c r="V92" s="26"/>
      <c r="W92" s="56"/>
      <c r="X92" s="27" t="s">
        <v>35</v>
      </c>
    </row>
    <row r="93" spans="1:24" ht="69" x14ac:dyDescent="0.35">
      <c r="A93" s="100">
        <v>92</v>
      </c>
      <c r="B93" s="14" t="s">
        <v>90</v>
      </c>
      <c r="C93" s="40" t="s">
        <v>100</v>
      </c>
      <c r="D93" s="40" t="s">
        <v>92</v>
      </c>
      <c r="E93" s="15" t="s">
        <v>93</v>
      </c>
      <c r="F93" s="40" t="s">
        <v>344</v>
      </c>
      <c r="G93" s="40" t="s">
        <v>368</v>
      </c>
      <c r="H93" s="42">
        <v>3</v>
      </c>
      <c r="I93" s="31">
        <v>1700</v>
      </c>
      <c r="J93" s="32">
        <v>3100</v>
      </c>
      <c r="K93" s="31">
        <v>3800</v>
      </c>
      <c r="L93" s="20">
        <v>15000</v>
      </c>
      <c r="M93" s="33">
        <f t="shared" si="5"/>
        <v>1545.4545454545453</v>
      </c>
      <c r="N93" s="34">
        <f t="shared" si="5"/>
        <v>2818.181818181818</v>
      </c>
      <c r="O93" s="35">
        <f t="shared" si="5"/>
        <v>3454.545454545454</v>
      </c>
      <c r="P93" s="36">
        <f t="shared" si="5"/>
        <v>13636.363636363636</v>
      </c>
      <c r="Q93" s="96" t="s">
        <v>369</v>
      </c>
      <c r="R93" s="97" t="s">
        <v>357</v>
      </c>
      <c r="S93" s="97" t="s">
        <v>370</v>
      </c>
      <c r="T93" s="97" t="s">
        <v>371</v>
      </c>
      <c r="U93" s="47"/>
      <c r="V93" s="26"/>
      <c r="W93" s="56"/>
      <c r="X93" s="27" t="s">
        <v>35</v>
      </c>
    </row>
    <row r="94" spans="1:24" x14ac:dyDescent="0.35">
      <c r="A94" s="99">
        <v>93</v>
      </c>
      <c r="B94" s="14" t="s">
        <v>90</v>
      </c>
      <c r="C94" s="40" t="s">
        <v>100</v>
      </c>
      <c r="D94" s="40" t="s">
        <v>372</v>
      </c>
      <c r="E94" s="15" t="s">
        <v>59</v>
      </c>
      <c r="F94" s="40" t="s">
        <v>316</v>
      </c>
      <c r="G94" s="40" t="s">
        <v>372</v>
      </c>
      <c r="H94" s="42"/>
      <c r="I94" s="31"/>
      <c r="J94" s="32"/>
      <c r="K94" s="31"/>
      <c r="L94" s="20"/>
      <c r="M94" s="33">
        <f t="shared" si="5"/>
        <v>0</v>
      </c>
      <c r="N94" s="34">
        <f t="shared" si="5"/>
        <v>0</v>
      </c>
      <c r="O94" s="35">
        <f t="shared" si="5"/>
        <v>0</v>
      </c>
      <c r="P94" s="36">
        <f t="shared" si="5"/>
        <v>0</v>
      </c>
      <c r="Q94" s="96"/>
      <c r="R94" s="97"/>
      <c r="S94" s="97"/>
      <c r="T94" s="97"/>
      <c r="U94" s="47"/>
      <c r="V94" s="26"/>
      <c r="W94" s="56"/>
      <c r="X94" s="27" t="s">
        <v>35</v>
      </c>
    </row>
    <row r="95" spans="1:24" x14ac:dyDescent="0.35">
      <c r="A95" s="99">
        <v>94</v>
      </c>
      <c r="B95" s="14" t="s">
        <v>23</v>
      </c>
      <c r="C95" s="40" t="s">
        <v>86</v>
      </c>
      <c r="D95" s="40" t="s">
        <v>373</v>
      </c>
      <c r="E95" s="28" t="s">
        <v>59</v>
      </c>
      <c r="F95" s="40" t="s">
        <v>342</v>
      </c>
      <c r="G95" s="40" t="s">
        <v>374</v>
      </c>
      <c r="H95" s="42"/>
      <c r="I95" s="31"/>
      <c r="J95" s="32"/>
      <c r="K95" s="31"/>
      <c r="L95" s="20"/>
      <c r="M95" s="101">
        <f t="shared" si="5"/>
        <v>0</v>
      </c>
      <c r="N95" s="102">
        <f t="shared" si="5"/>
        <v>0</v>
      </c>
      <c r="O95" s="103">
        <f t="shared" si="5"/>
        <v>0</v>
      </c>
      <c r="P95" s="104">
        <f t="shared" si="5"/>
        <v>0</v>
      </c>
      <c r="Q95" s="96"/>
      <c r="R95" s="97"/>
      <c r="S95" s="97"/>
      <c r="T95" s="97"/>
      <c r="U95" s="47"/>
      <c r="V95" s="26"/>
      <c r="W95" s="56"/>
      <c r="X95" s="27" t="s">
        <v>35</v>
      </c>
    </row>
    <row r="96" spans="1:24" ht="69" x14ac:dyDescent="0.35">
      <c r="A96" s="13">
        <v>95</v>
      </c>
      <c r="B96" s="105" t="s">
        <v>90</v>
      </c>
      <c r="C96" s="40" t="s">
        <v>100</v>
      </c>
      <c r="D96" s="40" t="s">
        <v>273</v>
      </c>
      <c r="E96" s="28" t="s">
        <v>59</v>
      </c>
      <c r="F96" s="40" t="s">
        <v>274</v>
      </c>
      <c r="G96" s="40" t="s">
        <v>375</v>
      </c>
      <c r="H96" s="42">
        <v>1</v>
      </c>
      <c r="I96" s="31">
        <v>296</v>
      </c>
      <c r="J96" s="32">
        <f>+ROUNDUP((I96*1.55)/0.85,-2)</f>
        <v>600</v>
      </c>
      <c r="K96" s="18">
        <f>+ROUNDUP((I96*1.55)/0.7,-2)</f>
        <v>700</v>
      </c>
      <c r="L96" s="20"/>
      <c r="M96" s="33">
        <f t="shared" ref="M96:P111" si="6">I96/1.1</f>
        <v>269.09090909090907</v>
      </c>
      <c r="N96" s="34">
        <f t="shared" si="6"/>
        <v>545.45454545454538</v>
      </c>
      <c r="O96" s="35">
        <f t="shared" si="6"/>
        <v>636.36363636363626</v>
      </c>
      <c r="P96" s="36">
        <f t="shared" si="6"/>
        <v>0</v>
      </c>
      <c r="Q96" s="44" t="s">
        <v>376</v>
      </c>
      <c r="R96" s="15" t="s">
        <v>277</v>
      </c>
      <c r="S96" s="15" t="s">
        <v>278</v>
      </c>
      <c r="T96" s="15" t="s">
        <v>377</v>
      </c>
      <c r="U96" s="38">
        <v>2</v>
      </c>
      <c r="V96" s="48"/>
      <c r="W96" s="52"/>
      <c r="X96" s="27" t="s">
        <v>35</v>
      </c>
    </row>
    <row r="97" spans="1:24" ht="69" x14ac:dyDescent="0.35">
      <c r="A97" s="13">
        <v>96</v>
      </c>
      <c r="B97" s="105" t="s">
        <v>90</v>
      </c>
      <c r="C97" s="40" t="s">
        <v>100</v>
      </c>
      <c r="D97" s="40" t="s">
        <v>273</v>
      </c>
      <c r="E97" s="28" t="s">
        <v>59</v>
      </c>
      <c r="F97" s="40" t="s">
        <v>274</v>
      </c>
      <c r="G97" s="40" t="s">
        <v>378</v>
      </c>
      <c r="H97" s="42">
        <v>12</v>
      </c>
      <c r="I97" s="31">
        <v>3200</v>
      </c>
      <c r="J97" s="32">
        <v>5200</v>
      </c>
      <c r="K97" s="18">
        <v>5200</v>
      </c>
      <c r="L97" s="20"/>
      <c r="M97" s="33">
        <f t="shared" si="6"/>
        <v>2909.090909090909</v>
      </c>
      <c r="N97" s="34">
        <f t="shared" si="6"/>
        <v>4727.272727272727</v>
      </c>
      <c r="O97" s="35">
        <f t="shared" si="6"/>
        <v>4727.272727272727</v>
      </c>
      <c r="P97" s="36">
        <f t="shared" si="6"/>
        <v>0</v>
      </c>
      <c r="Q97" s="44" t="s">
        <v>376</v>
      </c>
      <c r="R97" s="15" t="s">
        <v>277</v>
      </c>
      <c r="S97" s="15" t="s">
        <v>278</v>
      </c>
      <c r="T97" s="15" t="s">
        <v>377</v>
      </c>
      <c r="U97" s="38">
        <v>2</v>
      </c>
      <c r="V97" s="48"/>
      <c r="W97" s="52"/>
      <c r="X97" s="27" t="s">
        <v>35</v>
      </c>
    </row>
    <row r="98" spans="1:24" ht="69" x14ac:dyDescent="0.35">
      <c r="A98" s="13">
        <v>97</v>
      </c>
      <c r="B98" s="105" t="s">
        <v>90</v>
      </c>
      <c r="C98" s="40" t="s">
        <v>100</v>
      </c>
      <c r="D98" s="40" t="s">
        <v>273</v>
      </c>
      <c r="E98" s="28" t="s">
        <v>59</v>
      </c>
      <c r="F98" s="40" t="s">
        <v>274</v>
      </c>
      <c r="G98" s="40" t="s">
        <v>379</v>
      </c>
      <c r="H98" s="42">
        <v>1</v>
      </c>
      <c r="I98" s="31">
        <v>420</v>
      </c>
      <c r="J98" s="32">
        <f>+ROUNDUP((I98*1.55)/0.85,-2)</f>
        <v>800</v>
      </c>
      <c r="K98" s="18">
        <f>+ROUNDUP((I98*1.55)/0.7,-2)</f>
        <v>1000</v>
      </c>
      <c r="L98" s="20"/>
      <c r="M98" s="33">
        <f t="shared" si="6"/>
        <v>381.81818181818181</v>
      </c>
      <c r="N98" s="34">
        <f t="shared" si="6"/>
        <v>727.27272727272725</v>
      </c>
      <c r="O98" s="35">
        <f t="shared" si="6"/>
        <v>909.09090909090901</v>
      </c>
      <c r="P98" s="36">
        <f t="shared" si="6"/>
        <v>0</v>
      </c>
      <c r="Q98" s="44" t="s">
        <v>376</v>
      </c>
      <c r="R98" s="15" t="s">
        <v>277</v>
      </c>
      <c r="S98" s="15" t="s">
        <v>278</v>
      </c>
      <c r="T98" s="15" t="s">
        <v>377</v>
      </c>
      <c r="U98" s="38">
        <v>2</v>
      </c>
      <c r="V98" s="48"/>
      <c r="W98" s="52"/>
      <c r="X98" s="27" t="s">
        <v>35</v>
      </c>
    </row>
    <row r="99" spans="1:24" ht="69" x14ac:dyDescent="0.35">
      <c r="A99" s="13">
        <v>98</v>
      </c>
      <c r="B99" s="105" t="s">
        <v>90</v>
      </c>
      <c r="C99" s="40" t="s">
        <v>100</v>
      </c>
      <c r="D99" s="40" t="s">
        <v>273</v>
      </c>
      <c r="E99" s="28" t="s">
        <v>59</v>
      </c>
      <c r="F99" s="40" t="s">
        <v>274</v>
      </c>
      <c r="G99" s="40" t="s">
        <v>380</v>
      </c>
      <c r="H99" s="42">
        <v>12</v>
      </c>
      <c r="I99" s="31">
        <v>4500</v>
      </c>
      <c r="J99" s="32">
        <v>7300</v>
      </c>
      <c r="K99" s="18">
        <v>7300</v>
      </c>
      <c r="L99" s="20"/>
      <c r="M99" s="33">
        <f t="shared" si="6"/>
        <v>4090.9090909090905</v>
      </c>
      <c r="N99" s="34">
        <f t="shared" si="6"/>
        <v>6636.363636363636</v>
      </c>
      <c r="O99" s="35">
        <f t="shared" si="6"/>
        <v>6636.363636363636</v>
      </c>
      <c r="P99" s="36">
        <f t="shared" si="6"/>
        <v>0</v>
      </c>
      <c r="Q99" s="44" t="s">
        <v>376</v>
      </c>
      <c r="R99" s="15" t="s">
        <v>277</v>
      </c>
      <c r="S99" s="15" t="s">
        <v>278</v>
      </c>
      <c r="T99" s="15" t="s">
        <v>377</v>
      </c>
      <c r="U99" s="38">
        <v>2</v>
      </c>
      <c r="V99" s="48"/>
      <c r="W99" s="52"/>
      <c r="X99" s="27" t="s">
        <v>35</v>
      </c>
    </row>
    <row r="100" spans="1:24" ht="69" x14ac:dyDescent="0.35">
      <c r="A100" s="13">
        <v>99</v>
      </c>
      <c r="B100" s="105" t="s">
        <v>90</v>
      </c>
      <c r="C100" s="40" t="s">
        <v>100</v>
      </c>
      <c r="D100" s="40" t="s">
        <v>273</v>
      </c>
      <c r="E100" s="28" t="s">
        <v>59</v>
      </c>
      <c r="F100" s="40" t="s">
        <v>274</v>
      </c>
      <c r="G100" s="40" t="s">
        <v>381</v>
      </c>
      <c r="H100" s="42">
        <v>1</v>
      </c>
      <c r="I100" s="31">
        <v>1025</v>
      </c>
      <c r="J100" s="32">
        <f>+ROUNDUP((I100*1.55)/0.85,-2)</f>
        <v>1900</v>
      </c>
      <c r="K100" s="18">
        <f>+ROUNDUP((I100*1.55)/0.7,-2)</f>
        <v>2300</v>
      </c>
      <c r="L100" s="20"/>
      <c r="M100" s="33">
        <f t="shared" si="6"/>
        <v>931.81818181818176</v>
      </c>
      <c r="N100" s="34">
        <f t="shared" si="6"/>
        <v>1727.272727272727</v>
      </c>
      <c r="O100" s="35">
        <f t="shared" si="6"/>
        <v>2090.9090909090905</v>
      </c>
      <c r="P100" s="36">
        <f t="shared" si="6"/>
        <v>0</v>
      </c>
      <c r="Q100" s="44" t="s">
        <v>376</v>
      </c>
      <c r="R100" s="15" t="s">
        <v>277</v>
      </c>
      <c r="S100" s="15" t="s">
        <v>278</v>
      </c>
      <c r="T100" s="15" t="s">
        <v>377</v>
      </c>
      <c r="U100" s="38">
        <v>2</v>
      </c>
      <c r="V100" s="48"/>
      <c r="W100" s="52"/>
      <c r="X100" s="27" t="s">
        <v>35</v>
      </c>
    </row>
    <row r="101" spans="1:24" ht="69" x14ac:dyDescent="0.35">
      <c r="A101" s="13">
        <v>100</v>
      </c>
      <c r="B101" s="105" t="s">
        <v>90</v>
      </c>
      <c r="C101" s="40" t="s">
        <v>100</v>
      </c>
      <c r="D101" s="40" t="s">
        <v>273</v>
      </c>
      <c r="E101" s="28" t="s">
        <v>59</v>
      </c>
      <c r="F101" s="40" t="s">
        <v>274</v>
      </c>
      <c r="G101" s="40" t="s">
        <v>382</v>
      </c>
      <c r="H101" s="42">
        <v>12</v>
      </c>
      <c r="I101" s="31">
        <v>11000</v>
      </c>
      <c r="J101" s="32">
        <v>17700</v>
      </c>
      <c r="K101" s="18">
        <v>17700</v>
      </c>
      <c r="L101" s="20"/>
      <c r="M101" s="33">
        <f t="shared" si="6"/>
        <v>10000</v>
      </c>
      <c r="N101" s="34">
        <f t="shared" si="6"/>
        <v>16090.90909090909</v>
      </c>
      <c r="O101" s="35">
        <f t="shared" si="6"/>
        <v>16090.90909090909</v>
      </c>
      <c r="P101" s="36">
        <f t="shared" si="6"/>
        <v>0</v>
      </c>
      <c r="Q101" s="44" t="s">
        <v>376</v>
      </c>
      <c r="R101" s="15" t="s">
        <v>277</v>
      </c>
      <c r="S101" s="15" t="s">
        <v>278</v>
      </c>
      <c r="T101" s="15" t="s">
        <v>377</v>
      </c>
      <c r="U101" s="38">
        <v>2</v>
      </c>
      <c r="V101" s="48"/>
      <c r="W101" s="52"/>
      <c r="X101" s="27" t="s">
        <v>35</v>
      </c>
    </row>
    <row r="102" spans="1:24" ht="35.5" x14ac:dyDescent="0.35">
      <c r="A102" s="13">
        <v>101</v>
      </c>
      <c r="B102" s="105" t="s">
        <v>90</v>
      </c>
      <c r="C102" s="40" t="s">
        <v>383</v>
      </c>
      <c r="D102" s="40" t="s">
        <v>92</v>
      </c>
      <c r="E102" s="28" t="s">
        <v>59</v>
      </c>
      <c r="F102" s="40" t="s">
        <v>221</v>
      </c>
      <c r="G102" s="40" t="s">
        <v>384</v>
      </c>
      <c r="H102" s="42">
        <v>1</v>
      </c>
      <c r="I102" s="31">
        <v>785</v>
      </c>
      <c r="J102" s="32">
        <v>1335</v>
      </c>
      <c r="K102" s="18">
        <v>1800</v>
      </c>
      <c r="L102" s="20"/>
      <c r="M102" s="33">
        <f t="shared" si="6"/>
        <v>713.63636363636363</v>
      </c>
      <c r="N102" s="34">
        <f t="shared" si="6"/>
        <v>1213.6363636363635</v>
      </c>
      <c r="O102" s="35">
        <f t="shared" si="6"/>
        <v>1636.3636363636363</v>
      </c>
      <c r="P102" s="36">
        <f t="shared" si="6"/>
        <v>0</v>
      </c>
      <c r="Q102" s="106" t="s">
        <v>298</v>
      </c>
      <c r="R102" s="106"/>
      <c r="S102" s="106"/>
      <c r="T102" s="106"/>
      <c r="U102" s="48"/>
      <c r="V102" s="52"/>
      <c r="W102" s="27"/>
      <c r="X102" s="27" t="s">
        <v>35</v>
      </c>
    </row>
    <row r="103" spans="1:24" ht="35.5" x14ac:dyDescent="0.35">
      <c r="A103" s="13">
        <v>102</v>
      </c>
      <c r="B103" s="105" t="s">
        <v>90</v>
      </c>
      <c r="C103" s="40" t="s">
        <v>383</v>
      </c>
      <c r="D103" s="40" t="s">
        <v>92</v>
      </c>
      <c r="E103" s="28" t="s">
        <v>59</v>
      </c>
      <c r="F103" s="40" t="s">
        <v>221</v>
      </c>
      <c r="G103" s="40" t="s">
        <v>385</v>
      </c>
      <c r="H103" s="42">
        <v>12</v>
      </c>
      <c r="I103" s="31">
        <v>8484</v>
      </c>
      <c r="J103" s="32">
        <v>13620</v>
      </c>
      <c r="K103" s="18">
        <v>18800</v>
      </c>
      <c r="L103" s="20"/>
      <c r="M103" s="33">
        <f t="shared" si="6"/>
        <v>7712.7272727272721</v>
      </c>
      <c r="N103" s="34">
        <f t="shared" si="6"/>
        <v>12381.81818181818</v>
      </c>
      <c r="O103" s="35">
        <f t="shared" si="6"/>
        <v>17090.909090909088</v>
      </c>
      <c r="P103" s="36">
        <f t="shared" si="6"/>
        <v>0</v>
      </c>
      <c r="Q103" s="106" t="s">
        <v>298</v>
      </c>
      <c r="R103" s="106"/>
      <c r="S103" s="106"/>
      <c r="T103" s="106"/>
      <c r="U103" s="48"/>
      <c r="V103" s="52"/>
      <c r="W103" s="27"/>
      <c r="X103" s="27" t="s">
        <v>35</v>
      </c>
    </row>
    <row r="104" spans="1:24" ht="35.5" x14ac:dyDescent="0.35">
      <c r="A104" s="13">
        <v>103</v>
      </c>
      <c r="B104" s="105" t="s">
        <v>90</v>
      </c>
      <c r="C104" s="40" t="s">
        <v>383</v>
      </c>
      <c r="D104" s="40" t="s">
        <v>92</v>
      </c>
      <c r="E104" s="28" t="s">
        <v>59</v>
      </c>
      <c r="F104" s="40" t="s">
        <v>221</v>
      </c>
      <c r="G104" s="40" t="s">
        <v>386</v>
      </c>
      <c r="H104" s="42">
        <v>1</v>
      </c>
      <c r="I104" s="31">
        <v>1468</v>
      </c>
      <c r="J104" s="32">
        <v>2500</v>
      </c>
      <c r="K104" s="18">
        <v>3300</v>
      </c>
      <c r="L104" s="20"/>
      <c r="M104" s="33">
        <f t="shared" si="6"/>
        <v>1334.5454545454545</v>
      </c>
      <c r="N104" s="34">
        <f t="shared" si="6"/>
        <v>2272.7272727272725</v>
      </c>
      <c r="O104" s="35">
        <f t="shared" si="6"/>
        <v>2999.9999999999995</v>
      </c>
      <c r="P104" s="36">
        <f t="shared" si="6"/>
        <v>0</v>
      </c>
      <c r="Q104" s="106" t="s">
        <v>298</v>
      </c>
      <c r="R104" s="106"/>
      <c r="S104" s="106"/>
      <c r="T104" s="106"/>
      <c r="U104" s="48"/>
      <c r="V104" s="52"/>
      <c r="W104" s="27"/>
      <c r="X104" s="27" t="s">
        <v>35</v>
      </c>
    </row>
    <row r="105" spans="1:24" ht="35.5" x14ac:dyDescent="0.35">
      <c r="A105" s="13">
        <v>104</v>
      </c>
      <c r="B105" s="105" t="s">
        <v>90</v>
      </c>
      <c r="C105" s="40" t="s">
        <v>383</v>
      </c>
      <c r="D105" s="40" t="s">
        <v>92</v>
      </c>
      <c r="E105" s="28" t="s">
        <v>59</v>
      </c>
      <c r="F105" s="40" t="s">
        <v>221</v>
      </c>
      <c r="G105" s="40" t="s">
        <v>387</v>
      </c>
      <c r="H105" s="42">
        <v>12</v>
      </c>
      <c r="I105" s="31">
        <v>15858</v>
      </c>
      <c r="J105" s="32">
        <v>25462</v>
      </c>
      <c r="K105" s="18">
        <v>35200</v>
      </c>
      <c r="L105" s="20"/>
      <c r="M105" s="33">
        <f t="shared" si="6"/>
        <v>14416.363636363636</v>
      </c>
      <c r="N105" s="34">
        <f t="shared" si="6"/>
        <v>23147.272727272724</v>
      </c>
      <c r="O105" s="35">
        <f t="shared" si="6"/>
        <v>31999.999999999996</v>
      </c>
      <c r="P105" s="36">
        <f t="shared" si="6"/>
        <v>0</v>
      </c>
      <c r="Q105" s="106" t="s">
        <v>298</v>
      </c>
      <c r="R105" s="106"/>
      <c r="S105" s="106"/>
      <c r="T105" s="106"/>
      <c r="U105" s="48"/>
      <c r="V105" s="52"/>
      <c r="W105" s="27"/>
      <c r="X105" s="27" t="s">
        <v>35</v>
      </c>
    </row>
    <row r="106" spans="1:24" ht="35.5" x14ac:dyDescent="0.35">
      <c r="A106" s="13">
        <v>105</v>
      </c>
      <c r="B106" s="105" t="s">
        <v>90</v>
      </c>
      <c r="C106" s="40" t="s">
        <v>383</v>
      </c>
      <c r="D106" s="40" t="s">
        <v>92</v>
      </c>
      <c r="E106" s="28" t="s">
        <v>59</v>
      </c>
      <c r="F106" s="40" t="s">
        <v>221</v>
      </c>
      <c r="G106" s="40" t="s">
        <v>388</v>
      </c>
      <c r="H106" s="42">
        <v>1</v>
      </c>
      <c r="I106" s="31">
        <v>2612</v>
      </c>
      <c r="J106" s="32">
        <v>4440</v>
      </c>
      <c r="K106" s="18">
        <v>5800</v>
      </c>
      <c r="L106" s="20"/>
      <c r="M106" s="33">
        <f t="shared" si="6"/>
        <v>2374.5454545454545</v>
      </c>
      <c r="N106" s="34">
        <f t="shared" si="6"/>
        <v>4036.363636363636</v>
      </c>
      <c r="O106" s="35">
        <f t="shared" si="6"/>
        <v>5272.7272727272721</v>
      </c>
      <c r="P106" s="36">
        <f t="shared" si="6"/>
        <v>0</v>
      </c>
      <c r="Q106" s="106" t="s">
        <v>298</v>
      </c>
      <c r="R106" s="106"/>
      <c r="S106" s="106"/>
      <c r="T106" s="106"/>
      <c r="U106" s="48"/>
      <c r="V106" s="52"/>
      <c r="W106" s="27"/>
      <c r="X106" s="27" t="s">
        <v>35</v>
      </c>
    </row>
    <row r="107" spans="1:24" ht="35.5" x14ac:dyDescent="0.35">
      <c r="A107" s="13">
        <v>106</v>
      </c>
      <c r="B107" s="105" t="s">
        <v>90</v>
      </c>
      <c r="C107" s="40" t="s">
        <v>383</v>
      </c>
      <c r="D107" s="40" t="s">
        <v>273</v>
      </c>
      <c r="E107" s="28" t="s">
        <v>59</v>
      </c>
      <c r="F107" s="40" t="s">
        <v>221</v>
      </c>
      <c r="G107" s="40" t="s">
        <v>389</v>
      </c>
      <c r="H107" s="42">
        <v>12</v>
      </c>
      <c r="I107" s="31">
        <v>28210</v>
      </c>
      <c r="J107" s="32">
        <v>45300</v>
      </c>
      <c r="K107" s="18">
        <v>62500</v>
      </c>
      <c r="L107" s="20"/>
      <c r="M107" s="33">
        <f t="shared" si="6"/>
        <v>25645.454545454544</v>
      </c>
      <c r="N107" s="34">
        <f t="shared" si="6"/>
        <v>41181.818181818177</v>
      </c>
      <c r="O107" s="35">
        <f t="shared" si="6"/>
        <v>56818.181818181816</v>
      </c>
      <c r="P107" s="36">
        <f t="shared" si="6"/>
        <v>0</v>
      </c>
      <c r="Q107" s="106" t="s">
        <v>298</v>
      </c>
      <c r="R107" s="106"/>
      <c r="S107" s="106"/>
      <c r="T107" s="106"/>
      <c r="U107" s="48"/>
      <c r="V107" s="52"/>
      <c r="W107" s="27"/>
      <c r="X107" s="27" t="s">
        <v>35</v>
      </c>
    </row>
    <row r="108" spans="1:24" x14ac:dyDescent="0.35">
      <c r="A108" s="13">
        <v>107</v>
      </c>
      <c r="B108" s="105" t="s">
        <v>23</v>
      </c>
      <c r="C108" s="40" t="s">
        <v>24</v>
      </c>
      <c r="D108" s="40" t="s">
        <v>25</v>
      </c>
      <c r="E108" s="28" t="s">
        <v>93</v>
      </c>
      <c r="F108" s="15" t="s">
        <v>60</v>
      </c>
      <c r="G108" s="40" t="s">
        <v>390</v>
      </c>
      <c r="H108" s="42">
        <v>3</v>
      </c>
      <c r="I108" s="31">
        <v>35500</v>
      </c>
      <c r="J108" s="20">
        <v>70000</v>
      </c>
      <c r="K108" s="20">
        <v>70000</v>
      </c>
      <c r="L108" s="20">
        <v>70000</v>
      </c>
      <c r="M108" s="33">
        <f t="shared" si="6"/>
        <v>32272.727272727268</v>
      </c>
      <c r="N108" s="34">
        <f t="shared" si="6"/>
        <v>63636.363636363632</v>
      </c>
      <c r="O108" s="35">
        <f t="shared" si="6"/>
        <v>63636.363636363632</v>
      </c>
      <c r="P108" s="36">
        <f t="shared" si="6"/>
        <v>63636.363636363632</v>
      </c>
      <c r="Q108" s="44"/>
      <c r="R108" s="15"/>
      <c r="S108" s="15"/>
      <c r="T108" s="15"/>
      <c r="U108" s="48"/>
      <c r="V108" s="52"/>
      <c r="W108" s="27"/>
      <c r="X108" s="27" t="s">
        <v>35</v>
      </c>
    </row>
    <row r="109" spans="1:24" x14ac:dyDescent="0.35">
      <c r="A109" s="105">
        <v>108</v>
      </c>
      <c r="B109" s="14" t="s">
        <v>90</v>
      </c>
      <c r="C109" s="40" t="s">
        <v>100</v>
      </c>
      <c r="D109" s="40" t="s">
        <v>273</v>
      </c>
      <c r="E109" s="15" t="s">
        <v>59</v>
      </c>
      <c r="F109" s="40" t="s">
        <v>316</v>
      </c>
      <c r="G109" s="40" t="s">
        <v>391</v>
      </c>
      <c r="H109" s="42"/>
      <c r="I109" s="31"/>
      <c r="J109" s="32"/>
      <c r="K109" s="31"/>
      <c r="L109" s="20"/>
      <c r="M109" s="101">
        <f t="shared" si="6"/>
        <v>0</v>
      </c>
      <c r="N109" s="102">
        <f t="shared" si="6"/>
        <v>0</v>
      </c>
      <c r="O109" s="103">
        <f t="shared" si="6"/>
        <v>0</v>
      </c>
      <c r="P109" s="104">
        <f t="shared" si="6"/>
        <v>0</v>
      </c>
      <c r="Q109" s="96"/>
      <c r="R109" s="97"/>
      <c r="S109" s="97"/>
      <c r="T109" s="97"/>
      <c r="U109" s="26"/>
      <c r="V109" s="56"/>
      <c r="W109" s="27" t="s">
        <v>35</v>
      </c>
      <c r="X109" s="107" t="s">
        <v>35</v>
      </c>
    </row>
    <row r="110" spans="1:24" x14ac:dyDescent="0.35">
      <c r="A110" s="105">
        <v>109</v>
      </c>
      <c r="B110" s="14" t="s">
        <v>90</v>
      </c>
      <c r="C110" s="40" t="s">
        <v>100</v>
      </c>
      <c r="D110" s="40" t="s">
        <v>392</v>
      </c>
      <c r="E110" s="15" t="s">
        <v>59</v>
      </c>
      <c r="F110" s="40" t="s">
        <v>342</v>
      </c>
      <c r="G110" s="40" t="s">
        <v>392</v>
      </c>
      <c r="H110" s="42"/>
      <c r="I110" s="31"/>
      <c r="J110" s="32"/>
      <c r="K110" s="31"/>
      <c r="L110" s="20"/>
      <c r="M110" s="101">
        <f t="shared" si="6"/>
        <v>0</v>
      </c>
      <c r="N110" s="102">
        <f t="shared" si="6"/>
        <v>0</v>
      </c>
      <c r="O110" s="103">
        <f t="shared" si="6"/>
        <v>0</v>
      </c>
      <c r="P110" s="104">
        <f t="shared" si="6"/>
        <v>0</v>
      </c>
      <c r="Q110" s="96"/>
      <c r="R110" s="97"/>
      <c r="S110" s="97"/>
      <c r="T110" s="97"/>
      <c r="U110" s="26"/>
      <c r="V110" s="56"/>
      <c r="W110" s="27" t="s">
        <v>35</v>
      </c>
      <c r="X110" s="108"/>
    </row>
    <row r="111" spans="1:24" x14ac:dyDescent="0.35">
      <c r="A111" s="105">
        <v>110</v>
      </c>
      <c r="B111" s="14" t="s">
        <v>90</v>
      </c>
      <c r="C111" s="40" t="s">
        <v>100</v>
      </c>
      <c r="D111" s="40" t="s">
        <v>372</v>
      </c>
      <c r="E111" s="15" t="s">
        <v>59</v>
      </c>
      <c r="F111" s="40" t="s">
        <v>316</v>
      </c>
      <c r="G111" s="40" t="s">
        <v>393</v>
      </c>
      <c r="H111" s="42"/>
      <c r="I111" s="31"/>
      <c r="J111" s="32"/>
      <c r="K111" s="31"/>
      <c r="L111" s="20"/>
      <c r="M111" s="101">
        <f t="shared" si="6"/>
        <v>0</v>
      </c>
      <c r="N111" s="102">
        <f t="shared" si="6"/>
        <v>0</v>
      </c>
      <c r="O111" s="103">
        <f t="shared" si="6"/>
        <v>0</v>
      </c>
      <c r="P111" s="104">
        <f t="shared" si="6"/>
        <v>0</v>
      </c>
      <c r="Q111" s="96"/>
      <c r="R111" s="97"/>
      <c r="S111" s="97"/>
      <c r="T111" s="97"/>
      <c r="U111" s="26"/>
      <c r="V111" s="56"/>
      <c r="W111" s="27" t="s">
        <v>35</v>
      </c>
      <c r="X111" s="108"/>
    </row>
    <row r="112" spans="1:24" x14ac:dyDescent="0.35">
      <c r="A112" s="105">
        <v>111</v>
      </c>
      <c r="B112" s="14" t="s">
        <v>90</v>
      </c>
      <c r="C112" s="40" t="s">
        <v>100</v>
      </c>
      <c r="D112" s="40" t="s">
        <v>372</v>
      </c>
      <c r="E112" s="15" t="s">
        <v>59</v>
      </c>
      <c r="F112" s="40" t="s">
        <v>316</v>
      </c>
      <c r="G112" s="40" t="s">
        <v>394</v>
      </c>
      <c r="H112" s="42"/>
      <c r="I112" s="31"/>
      <c r="J112" s="32"/>
      <c r="K112" s="31"/>
      <c r="L112" s="20"/>
      <c r="M112" s="101">
        <f t="shared" ref="M112:P116" si="7">I112/1.1</f>
        <v>0</v>
      </c>
      <c r="N112" s="102">
        <f t="shared" si="7"/>
        <v>0</v>
      </c>
      <c r="O112" s="103">
        <f t="shared" si="7"/>
        <v>0</v>
      </c>
      <c r="P112" s="104">
        <f t="shared" si="7"/>
        <v>0</v>
      </c>
      <c r="Q112" s="96"/>
      <c r="R112" s="97"/>
      <c r="S112" s="97"/>
      <c r="T112" s="97"/>
      <c r="U112" s="26"/>
      <c r="V112" s="56"/>
      <c r="W112" s="27" t="s">
        <v>35</v>
      </c>
      <c r="X112" s="108"/>
    </row>
    <row r="113" spans="1:24" x14ac:dyDescent="0.35">
      <c r="A113" s="105">
        <v>112</v>
      </c>
      <c r="B113" s="14" t="s">
        <v>90</v>
      </c>
      <c r="C113" s="40" t="s">
        <v>100</v>
      </c>
      <c r="D113" s="40" t="s">
        <v>372</v>
      </c>
      <c r="E113" s="15" t="s">
        <v>59</v>
      </c>
      <c r="F113" s="40" t="s">
        <v>395</v>
      </c>
      <c r="G113" s="40" t="s">
        <v>396</v>
      </c>
      <c r="H113" s="42"/>
      <c r="I113" s="31"/>
      <c r="J113" s="32"/>
      <c r="K113" s="31"/>
      <c r="L113" s="20"/>
      <c r="M113" s="101">
        <f t="shared" si="7"/>
        <v>0</v>
      </c>
      <c r="N113" s="102">
        <f t="shared" si="7"/>
        <v>0</v>
      </c>
      <c r="O113" s="103">
        <f t="shared" si="7"/>
        <v>0</v>
      </c>
      <c r="P113" s="104">
        <f t="shared" si="7"/>
        <v>0</v>
      </c>
      <c r="Q113" s="96"/>
      <c r="R113" s="97"/>
      <c r="S113" s="97"/>
      <c r="T113" s="97"/>
      <c r="U113" s="26"/>
      <c r="V113" s="56"/>
      <c r="W113" s="27" t="s">
        <v>35</v>
      </c>
      <c r="X113" s="107" t="s">
        <v>35</v>
      </c>
    </row>
    <row r="114" spans="1:24" x14ac:dyDescent="0.35">
      <c r="A114" s="105">
        <v>113</v>
      </c>
      <c r="B114" s="14" t="s">
        <v>90</v>
      </c>
      <c r="C114" s="40" t="s">
        <v>100</v>
      </c>
      <c r="D114" s="40" t="s">
        <v>397</v>
      </c>
      <c r="E114" s="15" t="s">
        <v>59</v>
      </c>
      <c r="F114" s="40" t="s">
        <v>397</v>
      </c>
      <c r="G114" s="40" t="s">
        <v>397</v>
      </c>
      <c r="H114" s="42"/>
      <c r="I114" s="31"/>
      <c r="J114" s="32"/>
      <c r="K114" s="31"/>
      <c r="L114" s="20"/>
      <c r="M114" s="101">
        <f t="shared" si="7"/>
        <v>0</v>
      </c>
      <c r="N114" s="102">
        <f t="shared" si="7"/>
        <v>0</v>
      </c>
      <c r="O114" s="103">
        <f t="shared" si="7"/>
        <v>0</v>
      </c>
      <c r="P114" s="104">
        <f t="shared" si="7"/>
        <v>0</v>
      </c>
      <c r="Q114" s="96"/>
      <c r="R114" s="97"/>
      <c r="S114" s="97"/>
      <c r="T114" s="97"/>
      <c r="U114" s="26"/>
      <c r="V114" s="56"/>
      <c r="W114" s="27" t="s">
        <v>35</v>
      </c>
      <c r="X114" s="108"/>
    </row>
    <row r="115" spans="1:24" x14ac:dyDescent="0.35">
      <c r="A115" s="105">
        <v>114</v>
      </c>
      <c r="B115" s="14" t="s">
        <v>90</v>
      </c>
      <c r="C115" s="40" t="s">
        <v>100</v>
      </c>
      <c r="D115" s="40" t="s">
        <v>335</v>
      </c>
      <c r="E115" s="15" t="s">
        <v>93</v>
      </c>
      <c r="F115" s="40" t="s">
        <v>398</v>
      </c>
      <c r="G115" s="40" t="s">
        <v>399</v>
      </c>
      <c r="H115" s="42"/>
      <c r="I115" s="101" t="e">
        <f t="shared" ref="I115:P117" si="8">E115/1.1</f>
        <v>#VALUE!</v>
      </c>
      <c r="J115" s="102" t="e">
        <f t="shared" si="8"/>
        <v>#VALUE!</v>
      </c>
      <c r="K115" s="103" t="e">
        <f t="shared" si="8"/>
        <v>#VALUE!</v>
      </c>
      <c r="L115" s="104">
        <f t="shared" si="8"/>
        <v>0</v>
      </c>
      <c r="M115" s="101" t="e">
        <f t="shared" si="7"/>
        <v>#VALUE!</v>
      </c>
      <c r="N115" s="102" t="e">
        <f t="shared" si="7"/>
        <v>#VALUE!</v>
      </c>
      <c r="O115" s="103" t="e">
        <f t="shared" si="7"/>
        <v>#VALUE!</v>
      </c>
      <c r="P115" s="104">
        <f t="shared" si="7"/>
        <v>0</v>
      </c>
      <c r="Q115" s="56"/>
      <c r="R115" s="27" t="s">
        <v>35</v>
      </c>
      <c r="S115" s="108"/>
      <c r="T115" s="108"/>
      <c r="U115" s="108"/>
      <c r="V115" s="109"/>
      <c r="W115" s="108"/>
      <c r="X115" s="107" t="s">
        <v>35</v>
      </c>
    </row>
    <row r="116" spans="1:24" x14ac:dyDescent="0.35">
      <c r="A116" s="105">
        <v>115</v>
      </c>
      <c r="B116" s="14" t="s">
        <v>90</v>
      </c>
      <c r="C116" s="40" t="s">
        <v>100</v>
      </c>
      <c r="D116" s="40" t="s">
        <v>335</v>
      </c>
      <c r="E116" s="15" t="s">
        <v>93</v>
      </c>
      <c r="F116" s="40" t="s">
        <v>398</v>
      </c>
      <c r="G116" s="40" t="s">
        <v>400</v>
      </c>
      <c r="H116" s="42"/>
      <c r="I116" s="101" t="e">
        <f t="shared" si="8"/>
        <v>#VALUE!</v>
      </c>
      <c r="J116" s="102" t="e">
        <f t="shared" si="8"/>
        <v>#VALUE!</v>
      </c>
      <c r="K116" s="103" t="e">
        <f t="shared" si="8"/>
        <v>#VALUE!</v>
      </c>
      <c r="L116" s="104">
        <f t="shared" si="8"/>
        <v>0</v>
      </c>
      <c r="M116" s="101" t="e">
        <f t="shared" si="7"/>
        <v>#VALUE!</v>
      </c>
      <c r="N116" s="102" t="e">
        <f t="shared" si="7"/>
        <v>#VALUE!</v>
      </c>
      <c r="O116" s="103" t="e">
        <f t="shared" si="7"/>
        <v>#VALUE!</v>
      </c>
      <c r="P116" s="104">
        <f t="shared" si="7"/>
        <v>0</v>
      </c>
      <c r="Q116" s="56"/>
      <c r="R116" s="27" t="s">
        <v>35</v>
      </c>
      <c r="S116" s="108"/>
      <c r="T116" s="108"/>
      <c r="U116" s="108"/>
      <c r="V116" s="109"/>
      <c r="W116" s="108"/>
      <c r="X116" s="107" t="s">
        <v>35</v>
      </c>
    </row>
    <row r="117" spans="1:24" x14ac:dyDescent="0.35">
      <c r="A117" s="110">
        <v>116</v>
      </c>
      <c r="B117" s="14" t="s">
        <v>90</v>
      </c>
      <c r="C117" s="111" t="s">
        <v>100</v>
      </c>
      <c r="D117" s="111" t="s">
        <v>335</v>
      </c>
      <c r="E117" s="112" t="s">
        <v>59</v>
      </c>
      <c r="F117" s="111" t="s">
        <v>395</v>
      </c>
      <c r="G117" s="40" t="s">
        <v>401</v>
      </c>
      <c r="H117" s="42"/>
      <c r="I117" s="113" t="e">
        <f t="shared" si="8"/>
        <v>#VALUE!</v>
      </c>
      <c r="J117" s="114" t="e">
        <f t="shared" si="8"/>
        <v>#VALUE!</v>
      </c>
      <c r="K117" s="115" t="e">
        <f t="shared" si="8"/>
        <v>#VALUE!</v>
      </c>
      <c r="L117" s="116">
        <f t="shared" si="8"/>
        <v>0</v>
      </c>
      <c r="M117" s="113" t="e">
        <f t="shared" si="8"/>
        <v>#VALUE!</v>
      </c>
      <c r="N117" s="114" t="e">
        <f t="shared" si="8"/>
        <v>#VALUE!</v>
      </c>
      <c r="O117" s="115" t="e">
        <f t="shared" si="8"/>
        <v>#VALUE!</v>
      </c>
      <c r="P117" s="116">
        <f t="shared" si="8"/>
        <v>0</v>
      </c>
      <c r="Q117" s="117"/>
      <c r="R117" s="107" t="s">
        <v>35</v>
      </c>
      <c r="S117" s="108"/>
      <c r="T117" s="108"/>
      <c r="U117" s="108"/>
      <c r="V117" s="109"/>
      <c r="W117" s="108"/>
      <c r="X117" s="107" t="s">
        <v>35</v>
      </c>
    </row>
    <row r="118" spans="1:24" x14ac:dyDescent="0.35">
      <c r="A118" s="105">
        <v>117</v>
      </c>
      <c r="B118" t="s">
        <v>90</v>
      </c>
      <c r="C118" t="s">
        <v>100</v>
      </c>
      <c r="D118" t="s">
        <v>404</v>
      </c>
      <c r="E118" t="s">
        <v>26</v>
      </c>
      <c r="F118" t="s">
        <v>221</v>
      </c>
      <c r="G118" t="s">
        <v>402</v>
      </c>
    </row>
    <row r="119" spans="1:24" x14ac:dyDescent="0.35">
      <c r="A119" s="105">
        <v>118</v>
      </c>
      <c r="B119" t="s">
        <v>90</v>
      </c>
      <c r="C119" t="s">
        <v>100</v>
      </c>
      <c r="D119" t="s">
        <v>404</v>
      </c>
      <c r="E119" t="s">
        <v>26</v>
      </c>
      <c r="F119" t="s">
        <v>221</v>
      </c>
      <c r="G119" t="s">
        <v>403</v>
      </c>
    </row>
    <row r="120" spans="1:24" x14ac:dyDescent="0.35">
      <c r="A120" s="105">
        <v>119</v>
      </c>
    </row>
    <row r="121" spans="1:24" x14ac:dyDescent="0.35">
      <c r="A121" s="105">
        <v>120</v>
      </c>
    </row>
    <row r="122" spans="1:24" x14ac:dyDescent="0.35">
      <c r="A122" s="105">
        <v>121</v>
      </c>
    </row>
    <row r="123" spans="1:24" x14ac:dyDescent="0.35">
      <c r="A123" s="110">
        <v>122</v>
      </c>
    </row>
    <row r="124" spans="1:24" x14ac:dyDescent="0.35">
      <c r="A124" s="105">
        <v>123</v>
      </c>
    </row>
    <row r="125" spans="1:24" x14ac:dyDescent="0.35">
      <c r="A125" s="105">
        <v>124</v>
      </c>
    </row>
    <row r="126" spans="1:24" x14ac:dyDescent="0.35">
      <c r="A126" s="105">
        <v>125</v>
      </c>
    </row>
    <row r="127" spans="1:24" x14ac:dyDescent="0.35">
      <c r="A127" s="105">
        <v>126</v>
      </c>
    </row>
    <row r="128" spans="1:24" x14ac:dyDescent="0.35">
      <c r="A128" s="105">
        <v>127</v>
      </c>
    </row>
    <row r="129" spans="1:1" x14ac:dyDescent="0.35">
      <c r="A129" s="110">
        <v>128</v>
      </c>
    </row>
    <row r="130" spans="1:1" x14ac:dyDescent="0.35">
      <c r="A130" s="105">
        <v>129</v>
      </c>
    </row>
    <row r="131" spans="1:1" x14ac:dyDescent="0.35">
      <c r="A131" s="105">
        <v>130</v>
      </c>
    </row>
    <row r="132" spans="1:1" x14ac:dyDescent="0.35">
      <c r="A132" s="105">
        <v>131</v>
      </c>
    </row>
    <row r="133" spans="1:1" x14ac:dyDescent="0.35">
      <c r="A133" s="105">
        <v>132</v>
      </c>
    </row>
    <row r="134" spans="1:1" x14ac:dyDescent="0.35">
      <c r="A134" s="105">
        <v>133</v>
      </c>
    </row>
    <row r="135" spans="1:1" x14ac:dyDescent="0.35">
      <c r="A135" s="110">
        <v>134</v>
      </c>
    </row>
    <row r="136" spans="1:1" x14ac:dyDescent="0.35">
      <c r="A136" s="105">
        <v>135</v>
      </c>
    </row>
    <row r="137" spans="1:1" x14ac:dyDescent="0.35">
      <c r="A137" s="105">
        <v>136</v>
      </c>
    </row>
  </sheetData>
  <mergeCells count="1">
    <mergeCell ref="U2:U11"/>
  </mergeCells>
  <dataValidations count="2">
    <dataValidation type="list" allowBlank="1" showInputMessage="1" showErrorMessage="1" sqref="C2:C53" xr:uid="{4DB2F00E-9A4B-4E5F-9AEE-7C65DFAB5E7B}">
      <formula1>$A$1:$A$14</formula1>
    </dataValidation>
    <dataValidation type="list" allowBlank="1" showInputMessage="1" showErrorMessage="1" sqref="C54:C117" xr:uid="{470E7553-90A7-40F6-8575-439E588B3C46}">
      <formula1>$A$1:$A$15</formula1>
    </dataValidation>
  </dataValidations>
  <hyperlinks>
    <hyperlink ref="G26" r:id="rId1" display="CAPI x Gateway de CSA - look for special ratecard" xr:uid="{0CE3B487-FC7C-4A07-80DE-70961FED4AC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8542ef0-fee4-4bd3-8baf-eaa90f466034">
      <Terms xmlns="http://schemas.microsoft.com/office/infopath/2007/PartnerControls"/>
    </lcf76f155ced4ddcb4097134ff3c332f>
    <TaxCatchAll xmlns="b36de551-ed21-4dc4-aa87-ea6142b7c9cc" xsi:nil="true"/>
    <Link xmlns="98542ef0-fee4-4bd3-8baf-eaa90f466034">
      <Url xsi:nil="true"/>
      <Description xsi:nil="true"/>
    </Link>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8073E1A21C4E84586445BBEC8BDFFAB" ma:contentTypeVersion="13" ma:contentTypeDescription="Crear nuevo documento." ma:contentTypeScope="" ma:versionID="f823f08281c44197d81924b97ec0dc07">
  <xsd:schema xmlns:xsd="http://www.w3.org/2001/XMLSchema" xmlns:xs="http://www.w3.org/2001/XMLSchema" xmlns:p="http://schemas.microsoft.com/office/2006/metadata/properties" xmlns:ns2="98542ef0-fee4-4bd3-8baf-eaa90f466034" xmlns:ns3="b36de551-ed21-4dc4-aa87-ea6142b7c9cc" targetNamespace="http://schemas.microsoft.com/office/2006/metadata/properties" ma:root="true" ma:fieldsID="e58b3c19f9f9f3f883926bcb9ceaac50" ns2:_="" ns3:_="">
    <xsd:import namespace="98542ef0-fee4-4bd3-8baf-eaa90f466034"/>
    <xsd:import namespace="b36de551-ed21-4dc4-aa87-ea6142b7c9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542ef0-fee4-4bd3-8baf-eaa90f4660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8870de15-bcca-44b9-b7b5-b2794476cd4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Link" ma:index="20"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36de551-ed21-4dc4-aa87-ea6142b7c9c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0d0035d-1831-4fcb-a478-5b5428335e2b}" ma:internalName="TaxCatchAll" ma:showField="CatchAllData" ma:web="b36de551-ed21-4dc4-aa87-ea6142b7c9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58372F-0F20-414C-AE54-061BBE8D2EED}">
  <ds:schemaRefs>
    <ds:schemaRef ds:uri="http://schemas.microsoft.com/office/2006/metadata/properties"/>
    <ds:schemaRef ds:uri="http://schemas.microsoft.com/office/infopath/2007/PartnerControls"/>
    <ds:schemaRef ds:uri="98542ef0-fee4-4bd3-8baf-eaa90f466034"/>
    <ds:schemaRef ds:uri="b36de551-ed21-4dc4-aa87-ea6142b7c9cc"/>
  </ds:schemaRefs>
</ds:datastoreItem>
</file>

<file path=customXml/itemProps2.xml><?xml version="1.0" encoding="utf-8"?>
<ds:datastoreItem xmlns:ds="http://schemas.openxmlformats.org/officeDocument/2006/customXml" ds:itemID="{D8670D96-E05F-4360-9486-9EE96470CED9}">
  <ds:schemaRefs>
    <ds:schemaRef ds:uri="http://schemas.microsoft.com/sharepoint/v3/contenttype/forms"/>
  </ds:schemaRefs>
</ds:datastoreItem>
</file>

<file path=customXml/itemProps3.xml><?xml version="1.0" encoding="utf-8"?>
<ds:datastoreItem xmlns:ds="http://schemas.openxmlformats.org/officeDocument/2006/customXml" ds:itemID="{12CB28FE-061B-45D1-96BD-3AA2215130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542ef0-fee4-4bd3-8baf-eaa90f466034"/>
    <ds:schemaRef ds:uri="b36de551-ed21-4dc4-aa87-ea6142b7c9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Catalogo de servicios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VICTORIA GIL</cp:lastModifiedBy>
  <cp:revision/>
  <dcterms:created xsi:type="dcterms:W3CDTF">2026-04-16T16:14:52Z</dcterms:created>
  <dcterms:modified xsi:type="dcterms:W3CDTF">2026-09-01T02:39:18Z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0x01010038073E1A21C4E84586445BBEC8BDFFAB</vt:lpwstr>
  </property>
  <property fmtid="{D5CDD505-2E9C-101B-9397-08002B2CF9AE}" pid="3" name="MediaServiceImageTags">
    <vt:lpwstr/>
  </property>
</Properties>
</file>